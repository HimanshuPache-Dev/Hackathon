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che\Downloads\"/>
    </mc:Choice>
  </mc:AlternateContent>
  <xr:revisionPtr revIDLastSave="0" documentId="13_ncr:1_{3E778DAC-CCD7-4E07-B36F-439D85324CA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Summary" sheetId="2" r:id="rId2"/>
    <sheet name="Junctions_20" sheetId="3" r:id="rId3"/>
    <sheet name="Evidence_Notes" sheetId="4" r:id="rId4"/>
    <sheet name="Risk_Inputs" sheetId="5" r:id="rId5"/>
    <sheet name="Scoring_Config" sheetId="6" r:id="rId6"/>
    <sheet name="Sources" sheetId="7" r:id="rId7"/>
    <sheet name="Data_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5" l="1"/>
  <c r="B21" i="5"/>
  <c r="A21" i="5"/>
  <c r="N20" i="5"/>
  <c r="B20" i="5"/>
  <c r="A20" i="5"/>
  <c r="N19" i="5"/>
  <c r="B19" i="5"/>
  <c r="A19" i="5"/>
  <c r="N18" i="5"/>
  <c r="B18" i="5"/>
  <c r="A18" i="5"/>
  <c r="N17" i="5"/>
  <c r="B17" i="5"/>
  <c r="A17" i="5"/>
  <c r="N16" i="5"/>
  <c r="B16" i="5"/>
  <c r="A16" i="5"/>
  <c r="N15" i="5"/>
  <c r="B15" i="5"/>
  <c r="A15" i="5"/>
  <c r="N14" i="5"/>
  <c r="B14" i="5"/>
  <c r="A14" i="5"/>
  <c r="N13" i="5"/>
  <c r="B13" i="5"/>
  <c r="A13" i="5"/>
  <c r="N12" i="5"/>
  <c r="B12" i="5"/>
  <c r="A12" i="5"/>
  <c r="N11" i="5"/>
  <c r="B11" i="5"/>
  <c r="A11" i="5"/>
  <c r="N10" i="5"/>
  <c r="B10" i="5"/>
  <c r="A10" i="5"/>
  <c r="N9" i="5"/>
  <c r="B9" i="5"/>
  <c r="A9" i="5"/>
  <c r="N8" i="5"/>
  <c r="B8" i="5"/>
  <c r="A8" i="5"/>
  <c r="N7" i="5"/>
  <c r="B7" i="5"/>
  <c r="A7" i="5"/>
  <c r="N6" i="5"/>
  <c r="B6" i="5"/>
  <c r="A6" i="5"/>
  <c r="N5" i="5"/>
  <c r="B5" i="5"/>
  <c r="A5" i="5"/>
  <c r="N4" i="5"/>
  <c r="B4" i="5"/>
  <c r="A4" i="5"/>
  <c r="N3" i="5"/>
  <c r="B3" i="5"/>
  <c r="A3" i="5"/>
  <c r="N2" i="5"/>
  <c r="B2" i="5"/>
  <c r="A2" i="5"/>
  <c r="P21" i="3"/>
  <c r="W21" i="3" s="1"/>
  <c r="L21" i="3"/>
  <c r="P20" i="3"/>
  <c r="W20" i="3" s="1"/>
  <c r="L20" i="3"/>
  <c r="P19" i="3"/>
  <c r="W19" i="3" s="1"/>
  <c r="N19" i="3"/>
  <c r="O19" i="3" s="1"/>
  <c r="L19" i="3"/>
  <c r="P18" i="3"/>
  <c r="W18" i="3" s="1"/>
  <c r="L18" i="3"/>
  <c r="P17" i="3"/>
  <c r="W17" i="3" s="1"/>
  <c r="L17" i="3"/>
  <c r="P16" i="3"/>
  <c r="W16" i="3" s="1"/>
  <c r="L16" i="3"/>
  <c r="P15" i="3"/>
  <c r="W15" i="3" s="1"/>
  <c r="L15" i="3"/>
  <c r="P14" i="3"/>
  <c r="W14" i="3" s="1"/>
  <c r="L14" i="3"/>
  <c r="P13" i="3"/>
  <c r="W13" i="3" s="1"/>
  <c r="L13" i="3"/>
  <c r="P12" i="3"/>
  <c r="W12" i="3" s="1"/>
  <c r="L12" i="3"/>
  <c r="P11" i="3"/>
  <c r="W11" i="3" s="1"/>
  <c r="L11" i="3"/>
  <c r="P10" i="3"/>
  <c r="W10" i="3" s="1"/>
  <c r="L10" i="3"/>
  <c r="M19" i="3" s="1"/>
  <c r="C19" i="5" s="1"/>
  <c r="K19" i="5" s="1"/>
  <c r="P9" i="3"/>
  <c r="W9" i="3" s="1"/>
  <c r="L9" i="3"/>
  <c r="P8" i="3"/>
  <c r="W8" i="3" s="1"/>
  <c r="L8" i="3"/>
  <c r="P7" i="3"/>
  <c r="W7" i="3" s="1"/>
  <c r="L7" i="3"/>
  <c r="P6" i="3"/>
  <c r="W6" i="3" s="1"/>
  <c r="N6" i="3"/>
  <c r="M6" i="3"/>
  <c r="L6" i="3"/>
  <c r="P5" i="3"/>
  <c r="W5" i="3" s="1"/>
  <c r="L5" i="3"/>
  <c r="P4" i="3"/>
  <c r="W4" i="3" s="1"/>
  <c r="L4" i="3"/>
  <c r="P3" i="3"/>
  <c r="W3" i="3" s="1"/>
  <c r="L3" i="3"/>
  <c r="W2" i="3"/>
  <c r="P2" i="3"/>
  <c r="L2" i="3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B7" i="2"/>
  <c r="B6" i="2"/>
  <c r="B5" i="2"/>
  <c r="B4" i="2"/>
  <c r="M21" i="3" l="1"/>
  <c r="C21" i="5" s="1"/>
  <c r="K21" i="5" s="1"/>
  <c r="N21" i="3"/>
  <c r="O21" i="3" s="1"/>
  <c r="N20" i="3"/>
  <c r="O20" i="3" s="1"/>
  <c r="M20" i="3"/>
  <c r="C20" i="5" s="1"/>
  <c r="K20" i="5" s="1"/>
  <c r="L19" i="5"/>
  <c r="M19" i="5"/>
  <c r="N18" i="3"/>
  <c r="O18" i="3" s="1"/>
  <c r="M18" i="3"/>
  <c r="C18" i="5" s="1"/>
  <c r="K18" i="5" s="1"/>
  <c r="N17" i="3"/>
  <c r="O17" i="3" s="1"/>
  <c r="M17" i="3"/>
  <c r="C17" i="5" s="1"/>
  <c r="K17" i="5" s="1"/>
  <c r="N16" i="3"/>
  <c r="O16" i="3" s="1"/>
  <c r="M16" i="3"/>
  <c r="C16" i="5" s="1"/>
  <c r="K16" i="5" s="1"/>
  <c r="N15" i="3"/>
  <c r="O15" i="3" s="1"/>
  <c r="M15" i="3"/>
  <c r="C15" i="5" s="1"/>
  <c r="K15" i="5" s="1"/>
  <c r="N14" i="3"/>
  <c r="O14" i="3" s="1"/>
  <c r="M14" i="3"/>
  <c r="C14" i="5" s="1"/>
  <c r="K14" i="5" s="1"/>
  <c r="N13" i="3"/>
  <c r="O13" i="3" s="1"/>
  <c r="M13" i="3"/>
  <c r="C13" i="5" s="1"/>
  <c r="K13" i="5" s="1"/>
  <c r="N12" i="3"/>
  <c r="O12" i="3" s="1"/>
  <c r="M12" i="3"/>
  <c r="C12" i="5" s="1"/>
  <c r="K12" i="5" s="1"/>
  <c r="N11" i="3"/>
  <c r="M11" i="3"/>
  <c r="N10" i="3"/>
  <c r="M10" i="3"/>
  <c r="N9" i="3"/>
  <c r="M9" i="3"/>
  <c r="M8" i="3"/>
  <c r="N8" i="3"/>
  <c r="N7" i="3"/>
  <c r="M7" i="3"/>
  <c r="O6" i="3"/>
  <c r="D14" i="2" s="1"/>
  <c r="A14" i="2"/>
  <c r="C6" i="5"/>
  <c r="K6" i="5" s="1"/>
  <c r="C14" i="2"/>
  <c r="N5" i="3"/>
  <c r="M5" i="3"/>
  <c r="M4" i="3"/>
  <c r="N4" i="3"/>
  <c r="M3" i="3"/>
  <c r="N3" i="3"/>
  <c r="N2" i="3"/>
  <c r="M2" i="3"/>
  <c r="L21" i="5" l="1"/>
  <c r="M21" i="5"/>
  <c r="L20" i="5"/>
  <c r="M20" i="5"/>
  <c r="L18" i="5"/>
  <c r="M18" i="5"/>
  <c r="L17" i="5"/>
  <c r="M17" i="5"/>
  <c r="L16" i="5"/>
  <c r="M16" i="5"/>
  <c r="L15" i="5"/>
  <c r="M15" i="5"/>
  <c r="L14" i="5"/>
  <c r="M14" i="5"/>
  <c r="L13" i="5"/>
  <c r="M13" i="5"/>
  <c r="L12" i="5"/>
  <c r="M12" i="5"/>
  <c r="O11" i="3"/>
  <c r="D19" i="2" s="1"/>
  <c r="A19" i="2"/>
  <c r="C11" i="5"/>
  <c r="K11" i="5" s="1"/>
  <c r="C19" i="2"/>
  <c r="O10" i="3"/>
  <c r="D18" i="2" s="1"/>
  <c r="A18" i="2"/>
  <c r="C10" i="5"/>
  <c r="K10" i="5" s="1"/>
  <c r="C18" i="2"/>
  <c r="O9" i="3"/>
  <c r="D17" i="2" s="1"/>
  <c r="A17" i="2"/>
  <c r="C9" i="5"/>
  <c r="K9" i="5" s="1"/>
  <c r="C17" i="2"/>
  <c r="C8" i="5"/>
  <c r="K8" i="5" s="1"/>
  <c r="C16" i="2"/>
  <c r="O8" i="3"/>
  <c r="D16" i="2" s="1"/>
  <c r="A16" i="2"/>
  <c r="O7" i="3"/>
  <c r="D15" i="2" s="1"/>
  <c r="A15" i="2"/>
  <c r="C7" i="5"/>
  <c r="K7" i="5" s="1"/>
  <c r="C15" i="2"/>
  <c r="L6" i="5"/>
  <c r="M6" i="5"/>
  <c r="O5" i="3"/>
  <c r="D13" i="2" s="1"/>
  <c r="A13" i="2"/>
  <c r="C5" i="5"/>
  <c r="K5" i="5" s="1"/>
  <c r="C13" i="2"/>
  <c r="C4" i="5"/>
  <c r="K4" i="5" s="1"/>
  <c r="C12" i="2"/>
  <c r="O4" i="3"/>
  <c r="D12" i="2" s="1"/>
  <c r="A12" i="2"/>
  <c r="C3" i="5"/>
  <c r="K3" i="5" s="1"/>
  <c r="C11" i="2"/>
  <c r="O3" i="3"/>
  <c r="D11" i="2" s="1"/>
  <c r="A11" i="2"/>
  <c r="O2" i="3"/>
  <c r="D10" i="2" s="1"/>
  <c r="A10" i="2"/>
  <c r="C2" i="5"/>
  <c r="K2" i="5" s="1"/>
  <c r="C10" i="2"/>
  <c r="L11" i="5" l="1"/>
  <c r="M11" i="5"/>
  <c r="L10" i="5"/>
  <c r="M10" i="5"/>
  <c r="M9" i="5"/>
  <c r="L9" i="5"/>
  <c r="M8" i="5"/>
  <c r="L8" i="5"/>
  <c r="L7" i="5"/>
  <c r="M7" i="5"/>
  <c r="M5" i="5"/>
  <c r="L5" i="5"/>
  <c r="M4" i="5"/>
  <c r="L4" i="5"/>
  <c r="M3" i="5"/>
  <c r="L3" i="5"/>
  <c r="L2" i="5"/>
  <c r="M2" i="5"/>
</calcChain>
</file>

<file path=xl/sharedStrings.xml><?xml version="1.0" encoding="utf-8"?>
<sst xmlns="http://schemas.openxmlformats.org/spreadsheetml/2006/main" count="838" uniqueCount="391">
  <si>
    <t>Nagpur 20-Junction Risk Dataset</t>
  </si>
  <si>
    <t>Purpose: seed data for the AI-based traffic-risk heatmap and police-deployment decision-support prototype.</t>
  </si>
  <si>
    <t>Item</t>
  </si>
  <si>
    <t>Instruction / finding</t>
  </si>
  <si>
    <t>Primary evidence</t>
  </si>
  <si>
    <t>iRASTE Nagpur Detailed Report, Table 4.3. It analyzed police FIR data, geocoded blackspots and published coordinates and crash outcomes.</t>
  </si>
  <si>
    <t>Selected locations</t>
  </si>
  <si>
    <t>20 intersections with the highest weighted-severity index among the report's intersection records.</t>
  </si>
  <si>
    <t>Weighted severity</t>
  </si>
  <si>
    <t>5 × fatalities + 3 × major injuries + 1 × minor injuries. This is a transparent project ranking, not an official police score.</t>
  </si>
  <si>
    <t>Coordinate status</t>
  </si>
  <si>
    <t>Coordinates come from the report and pass a Nagpur bounding-box check. Each point must still be opened in OSM and marked Verified before production use.</t>
  </si>
  <si>
    <t>Historical period warning</t>
  </si>
  <si>
    <t>The report is internally inconsistent: the Table 4.3 note says 2018-2020, while an earlier passage says 2019-2021. Use 'historical FIR period; verify exact dates' in presentations.</t>
  </si>
  <si>
    <t>Current-risk warning</t>
  </si>
  <si>
    <t>Historical blackspot evidence does not prove a location is still high risk today. Recent evidence is included where located; otherwise the workbook says verification is required.</t>
  </si>
  <si>
    <t>Road/area context</t>
  </si>
  <si>
    <t>Corridor and area-context fields are derived descriptions for project organization. Verify exact road names against OpenStreetMap before importing.</t>
  </si>
  <si>
    <t>Real vs derived</t>
  </si>
  <si>
    <t>Crash counts and coordinates are source-reported. Severity index, score, rank, tier, corridor labels and risk reasons are derived. Blank dynamic inputs are for observed or simulated scenarios.</t>
  </si>
  <si>
    <t>Do not claim</t>
  </si>
  <si>
    <t>Do not present Relative Risk Score as accident probability or claim that this system predicts accidents.</t>
  </si>
  <si>
    <t>Next action</t>
  </si>
  <si>
    <t>Open each OSM link, verify the marker, correct the road/corridor name if needed, then set Manual_Map_Check to Verified.</t>
  </si>
  <si>
    <t>Nagpur Historical Blackspot Priority — Selected 20</t>
  </si>
  <si>
    <t>Historical crashes</t>
  </si>
  <si>
    <t>Fatalities</t>
  </si>
  <si>
    <t>Major injuries</t>
  </si>
  <si>
    <t>Priority</t>
  </si>
  <si>
    <t>Location</t>
  </si>
  <si>
    <t>Risk Score</t>
  </si>
  <si>
    <t>Tier</t>
  </si>
  <si>
    <t>Interpretation: these are historical FIR blackspots ranked by a transparent project severity index. A high score does not prove the junction is currently high risk. Use Evidence_Notes and complete a current field/map verification before presenting a location as current.</t>
  </si>
  <si>
    <t>Junction_ID</t>
  </si>
  <si>
    <t>Location_Name</t>
  </si>
  <si>
    <t>Latitude</t>
  </si>
  <si>
    <t>Longitude</t>
  </si>
  <si>
    <t>Section_Type</t>
  </si>
  <si>
    <t>Corridor_or_Area_Derived</t>
  </si>
  <si>
    <t>Area_Context_Derived</t>
  </si>
  <si>
    <t>Historical_Crashes</t>
  </si>
  <si>
    <t>Major_Injuries</t>
  </si>
  <si>
    <t>Minor_Injuries</t>
  </si>
  <si>
    <t>Weighted_Severity_Index</t>
  </si>
  <si>
    <t>Relative_Risk_Score_0_100</t>
  </si>
  <si>
    <t>Priority_Rank</t>
  </si>
  <si>
    <t>Historical_Priority_Tier</t>
  </si>
  <si>
    <t>Coordinate_QA</t>
  </si>
  <si>
    <t>Manual_Map_Check</t>
  </si>
  <si>
    <t>OSM_Map_URL</t>
  </si>
  <si>
    <t>Data_Period</t>
  </si>
  <si>
    <t>Data_Classification</t>
  </si>
  <si>
    <t>Base_Source_ID</t>
  </si>
  <si>
    <t>Evidence_Source_ID</t>
  </si>
  <si>
    <t>Import_Ready</t>
  </si>
  <si>
    <t>User_Notes</t>
  </si>
  <si>
    <t>J001</t>
  </si>
  <si>
    <t>Chhatrapati Square</t>
  </si>
  <si>
    <t>Intersection</t>
  </si>
  <si>
    <t>Wardha Road / Inner Ring Road area</t>
  </si>
  <si>
    <t>Mixed transport and residential</t>
  </si>
  <si>
    <t>https://www.openstreetmap.org/?mlat=21.11083&amp;mlon=79.07011#map=18/21.11083/79.07011</t>
  </si>
  <si>
    <t>Historical FIR period; report date inconsistency noted</t>
  </si>
  <si>
    <t>REAL source values + DERIVED ranking/context</t>
  </si>
  <si>
    <t>S01</t>
  </si>
  <si>
    <t>S03</t>
  </si>
  <si>
    <t>J002</t>
  </si>
  <si>
    <t>Juni Pardi Naka Chowk</t>
  </si>
  <si>
    <t>Old Pardi Naka / Bhandara Road corridor</t>
  </si>
  <si>
    <t>Highway-commercial-industrial mix</t>
  </si>
  <si>
    <t>https://www.openstreetmap.org/?mlat=21.15139&amp;mlon=79.14889#map=18/21.15139/79.14889</t>
  </si>
  <si>
    <t>J003</t>
  </si>
  <si>
    <t>Jhansi Rani Square</t>
  </si>
  <si>
    <t>Ramdaspeth-Sitabuldi / North Ambazari Road</t>
  </si>
  <si>
    <t>CBD and public-transport hub</t>
  </si>
  <si>
    <t>https://www.openstreetmap.org/?mlat=21.14124&amp;mlon=79.08029#map=18/21.14124/79.08029</t>
  </si>
  <si>
    <t>S06</t>
  </si>
  <si>
    <t>J004</t>
  </si>
  <si>
    <t>Jingabai Takli to Zhanda Chowk</t>
  </si>
  <si>
    <t>Jingabai Takli-Zhanda Chowk corridor</t>
  </si>
  <si>
    <t>Residential and urban arterial</t>
  </si>
  <si>
    <t>https://www.openstreetmap.org/?mlat=21.18761&amp;mlon=79.07888#map=18/21.18761/79.07888</t>
  </si>
  <si>
    <t>J005</t>
  </si>
  <si>
    <t>Chikli Square</t>
  </si>
  <si>
    <t>Inner Ring Road / Chikhli-Kalamna side</t>
  </si>
  <si>
    <t>Industrial-logistics and residential mix</t>
  </si>
  <si>
    <t>https://www.openstreetmap.org/?mlat=21.1623&amp;mlon=79.14106#map=18/21.1623/79.14106</t>
  </si>
  <si>
    <t>S07</t>
  </si>
  <si>
    <t>J006</t>
  </si>
  <si>
    <t>Maruti Seva Square, Kamptee Road</t>
  </si>
  <si>
    <t>Kamptee Road</t>
  </si>
  <si>
    <t>Highway-commercial and five-road junction</t>
  </si>
  <si>
    <t>https://www.openstreetmap.org/?mlat=21.18391&amp;mlon=79.11693#map=18/21.18391/79.11693</t>
  </si>
  <si>
    <t>J007</t>
  </si>
  <si>
    <t>Shitla Mata Square</t>
  </si>
  <si>
    <t>East Nagpur urban corridor</t>
  </si>
  <si>
    <t>Dense mixed residential-commercial</t>
  </si>
  <si>
    <t>https://www.openstreetmap.org/?mlat=21.12194&amp;mlon=79.12111#map=18/21.12194/79.12111</t>
  </si>
  <si>
    <t>J008</t>
  </si>
  <si>
    <t>Kharbi Chowk</t>
  </si>
  <si>
    <t>Kharbi / Inner Ring Road area</t>
  </si>
  <si>
    <t>Residential-commercial urban arterial</t>
  </si>
  <si>
    <t>https://www.openstreetmap.org/?mlat=21.12425&amp;mlon=79.13848#map=18/21.12425/79.13848</t>
  </si>
  <si>
    <t>J009</t>
  </si>
  <si>
    <t>Mhalgi Nagar Square</t>
  </si>
  <si>
    <t>Mhalgi Nagar / Ring Road-Umred Road side</t>
  </si>
  <si>
    <t>Residential-commercial arterial</t>
  </si>
  <si>
    <t>https://www.openstreetmap.org/?mlat=21.10766&amp;mlon=79.11961#map=18/21.10766/79.11961</t>
  </si>
  <si>
    <t>J010</t>
  </si>
  <si>
    <t>Ravi Nagar</t>
  </si>
  <si>
    <t>Ravi Nagar / Amravati Road area</t>
  </si>
  <si>
    <t>Commercial-residential and transport</t>
  </si>
  <si>
    <t>https://www.openstreetmap.org/?mlat=21.14744&amp;mlon=79.0562#map=18/21.14744/79.0562</t>
  </si>
  <si>
    <t>J011</t>
  </si>
  <si>
    <t>Manewada Square</t>
  </si>
  <si>
    <t>Inner Ring Road / Manewada Road</t>
  </si>
  <si>
    <t>Dense residential-commercial arterial</t>
  </si>
  <si>
    <t>https://www.openstreetmap.org/?mlat=21.10522&amp;mlon=79.10247#map=18/21.10522/79.10247</t>
  </si>
  <si>
    <t>J012</t>
  </si>
  <si>
    <t>Chinchbhavan Square</t>
  </si>
  <si>
    <t>Wardha Road / Chinchbhavan</t>
  </si>
  <si>
    <t>Highway-residential and airport-side traffic</t>
  </si>
  <si>
    <t>https://www.openstreetmap.org/?mlat=21.0675&amp;mlon=79.05833#map=18/21.0675/79.05833</t>
  </si>
  <si>
    <t>J013</t>
  </si>
  <si>
    <t>Rajiv Nagar Intersection</t>
  </si>
  <si>
    <t>Hingna-MIDC corridor</t>
  </si>
  <si>
    <t>Industrial and worker-commuter traffic</t>
  </si>
  <si>
    <t>https://www.openstreetmap.org/?mlat=21.10365&amp;mlon=78.99068#map=18/21.10365/78.99068</t>
  </si>
  <si>
    <t>J014</t>
  </si>
  <si>
    <t>Wathoda Square</t>
  </si>
  <si>
    <t>East Nagpur / Wathoda Ring Road area</t>
  </si>
  <si>
    <t>Residential urban-fringe arterial</t>
  </si>
  <si>
    <t>https://www.openstreetmap.org/?mlat=21.13361&amp;mlon=79.14333#map=18/21.13361/79.14333</t>
  </si>
  <si>
    <t>J015</t>
  </si>
  <si>
    <t>Mayo Square</t>
  </si>
  <si>
    <t>Central Avenue / Mayo Hospital area</t>
  </si>
  <si>
    <t>CBD, hospital and public transport</t>
  </si>
  <si>
    <t>https://www.openstreetmap.org/?mlat=21.15317&amp;mlon=79.09403#map=18/21.15317/79.09403</t>
  </si>
  <si>
    <t>J016</t>
  </si>
  <si>
    <t>Shrinagar Chowk</t>
  </si>
  <si>
    <t>Shrinagar-Narendra Nagar area</t>
  </si>
  <si>
    <t>Residential and commuter junction</t>
  </si>
  <si>
    <t>https://www.openstreetmap.org/?mlat=21.10771&amp;mlon=79.07994#map=18/21.10771/79.07994</t>
  </si>
  <si>
    <t>J017</t>
  </si>
  <si>
    <t>NEERI Point</t>
  </si>
  <si>
    <t>Wardha Road / NEERI area</t>
  </si>
  <si>
    <t>Institutional and arterial traffic</t>
  </si>
  <si>
    <t>https://www.openstreetmap.org/?mlat=21.11933&amp;mlon=79.0684#map=18/21.11933/79.0684</t>
  </si>
  <si>
    <t>J018</t>
  </si>
  <si>
    <t>Gorewada to Toll Naka</t>
  </si>
  <si>
    <t>Gorewada-Toll Naka corridor</t>
  </si>
  <si>
    <t>Urban-fringe and mixed fast traffic</t>
  </si>
  <si>
    <t>https://www.openstreetmap.org/?mlat=21.18361&amp;mlon=79.03417#map=18/21.18361/79.03417</t>
  </si>
  <si>
    <t>S08</t>
  </si>
  <si>
    <t>J019</t>
  </si>
  <si>
    <t>Wadi T Point (Dhamna)</t>
  </si>
  <si>
    <t>Amravati Road / Dhamna-Wadi T Point</t>
  </si>
  <si>
    <t>Highway-industrial and through traffic</t>
  </si>
  <si>
    <t>https://www.openstreetmap.org/?mlat=21.15287&amp;mlon=79.00227#map=18/21.15287/79.00227</t>
  </si>
  <si>
    <t>S05</t>
  </si>
  <si>
    <t>J020</t>
  </si>
  <si>
    <t>Auto Hub to Toll Naka</t>
  </si>
  <si>
    <t>Wadi / Amravati Road toll corridor</t>
  </si>
  <si>
    <t>Highway-industrial and logistics traffic</t>
  </si>
  <si>
    <t>https://www.openstreetmap.org/?mlat=21.15352&amp;mlon=79.00419#map=18/21.15352/79.00419</t>
  </si>
  <si>
    <t>Valid_Risk_Reason</t>
  </si>
  <si>
    <t>Recent_Evidence_or_Status</t>
  </si>
  <si>
    <t>Interpretation</t>
  </si>
  <si>
    <t>Primary_Source_URL</t>
  </si>
  <si>
    <t>Secondary_Source_URL</t>
  </si>
  <si>
    <t>Confidence</t>
  </si>
  <si>
    <t>Verification_Needed</t>
  </si>
  <si>
    <t>Police-FIR blackspot evidence: 45 crashes, 12 fatalities, 37 major injuries and 9 minor injuries in the source table. The location was selected under the report's MoRTH blackspot methodology; the workbook rank is derived from severity outcomes.</t>
  </si>
  <si>
    <t>Listed with 3 serious accidents in the 2021-2023 update; newer road-condition concerns require field verification.</t>
  </si>
  <si>
    <t>Strong historical evidence; current classification requires new observation or official record.</t>
  </si>
  <si>
    <t>https://www.inai.ai/img/docs/iraste-nagpur/iRASATE-Detailed-Report.pdf</t>
  </si>
  <si>
    <t>https://www.thehitavada.com/Encyc/2024/12/10/Prakash-High-School-to-Kapsi-Bridge-MarutiShowroom-sq-among.html</t>
  </si>
  <si>
    <t>MEDIUM</t>
  </si>
  <si>
    <t>Manual map check + current traffic observation</t>
  </si>
  <si>
    <t>Police-FIR blackspot evidence: 33 crashes, 13 fatalities, 25 major injuries and 6 minor injuries in the source table. The location was selected under the report's MoRTH blackspot methodology; the workbook rank is derived from severity outcomes.</t>
  </si>
  <si>
    <t>2024 reporting lists Old Pardi Naka with 8 serious accidents; the wider Pardi cluster remained a major concern.</t>
  </si>
  <si>
    <t>Historical evidence plus newer location-specific support; still verify the latest field condition.</t>
  </si>
  <si>
    <t>MEDIUM-HIGH</t>
  </si>
  <si>
    <t>Police-FIR blackspot evidence: 41 crashes, 7 fatalities, 35 major injuries and 5 minor injuries in the source table. The location was selected under the report's MoRTH blackspot methodology; the workbook rank is derived from severity outcomes.</t>
  </si>
  <si>
    <t>2024 reporting describes daily congestion from autorickshaw parking, encroachment and wrong-side driving.</t>
  </si>
  <si>
    <t>https://timesofindia.indiatimes.com/city/nagpur/traffic-chaos-at-jhansi-rani-square-in-nagpur/articleshow/113175497.cms</t>
  </si>
  <si>
    <t>Police-FIR blackspot evidence: 39 crashes, 12 fatalities, 25 major injuries and 8 minor injuries in the source table. The location was selected under the report's MoRTH blackspot methodology; the workbook rank is derived from severity outcomes.</t>
  </si>
  <si>
    <t>No row-specific 2024-2026 count located during this review; retain as a historical FIR blackspot and verify current conditions.</t>
  </si>
  <si>
    <t>Police-FIR blackspot evidence: 31 crashes, 14 fatalities, 18 major injuries and 5 minor injuries in the source table. The location was selected under the report's MoRTH blackspot methodology; the workbook rank is derived from severity outcomes.</t>
  </si>
  <si>
    <t>2025 reporting describes major potholes, heavy truck traffic and reported accidents on the Chikhli flyover.</t>
  </si>
  <si>
    <t>https://timesofindia.indiatimes.com/city/nagpur/chikhli-square-flyover-turns-pothole-maze/articleshow/123210667.cms</t>
  </si>
  <si>
    <t>Police-FIR blackspot evidence: 27 crashes, 11 fatalities, 19 major injuries and 2 minor injuries in the source table. The location was selected under the report's MoRTH blackspot methodology; the workbook rank is derived from severity outcomes.</t>
  </si>
  <si>
    <t>2024 traffic-police reporting identifies this as one of two major continuing concerns: 12 serious mishaps, five converging roads, heavy traffic and potholes.</t>
  </si>
  <si>
    <t>Police-FIR blackspot evidence: 27 crashes, 6 fatalities, 27 major injuries and 3 minor injuries in the source table. The location was selected under the report's MoRTH blackspot methodology; the workbook rank is derived from severity outcomes.</t>
  </si>
  <si>
    <t>No row-specific newer count located; current risk must be verified before claiming it is a present blackspot.</t>
  </si>
  <si>
    <t>Police-FIR blackspot evidence: 21 crashes, 6 fatalities, 16 major injuries and 4 minor injuries in the source table. The location was selected under the report's MoRTH blackspot methodology; the workbook rank is derived from severity outcomes.</t>
  </si>
  <si>
    <t>Police-FIR blackspot evidence: 18 crashes, 4 fatalities, 18 major injuries and 1 minor injuries in the source table. The location was selected under the report's MoRTH blackspot methodology; the workbook rank is derived from severity outcomes.</t>
  </si>
  <si>
    <t>The 2021-2023 update lists 2 serious accidents and notes reductions at many treated locations.</t>
  </si>
  <si>
    <t>Police-FIR blackspot evidence: 26 crashes, 5 fatalities, 14 major injuries and 7 minor injuries in the source table. The location was selected under the report's MoRTH blackspot methodology; the workbook rank is derived from severity outcomes.</t>
  </si>
  <si>
    <t>No row-specific newer count located; use as a historical blackspot baseline only.</t>
  </si>
  <si>
    <t>Police-FIR blackspot evidence: 18 crashes, 2 fatalities, 19 major injuries and 3 minor injuries in the source table. The location was selected under the report's MoRTH blackspot methodology; the workbook rank is derived from severity outcomes.</t>
  </si>
  <si>
    <t>The 2021-2023 update lists 2 serious accidents; risk appears lower than the earlier historical period but still needs monitoring.</t>
  </si>
  <si>
    <t>Police-FIR blackspot evidence: 15 crashes, 3 fatalities, 14 major injuries and 5 minor injuries in the source table. The location was selected under the report's MoRTH blackspot methodology; the workbook rank is derived from severity outcomes.</t>
  </si>
  <si>
    <t>The 2021-2023 update lists 4 serious accidents; retain for monitoring and verify current road design/traffic.</t>
  </si>
  <si>
    <t>Police-FIR blackspot evidence: 16 crashes, 6 fatalities, 10 major injuries and 0 minor injuries in the source table. The location was selected under the report's MoRTH blackspot methodology; the workbook rank is derived from severity outcomes.</t>
  </si>
  <si>
    <t>The 2021-2023 update lists 2 serious accidents; newer MIDC-zone interventions may have changed current risk.</t>
  </si>
  <si>
    <t>Police-FIR blackspot evidence: 17 crashes, 5 fatalities, 11 major injuries and 2 minor injuries in the source table. The location was selected under the report's MoRTH blackspot methodology; the workbook rank is derived from severity outcomes.</t>
  </si>
  <si>
    <t>No row-specific newer count located; use as historical evidence until a current observation is added.</t>
  </si>
  <si>
    <t>Police-FIR blackspot evidence: 16 crashes, 4 fatalities, 11 major injuries and 3 minor injuries in the source table. The location was selected under the report's MoRTH blackspot methodology; the workbook rank is derived from severity outcomes.</t>
  </si>
  <si>
    <t>No row-specific newer count located; hospital/CBD context is derived and requires a current congestion observation.</t>
  </si>
  <si>
    <t>Police-FIR blackspot evidence: 20 crashes, 2 fatalities, 14 major injuries and 3 minor injuries in the source table. The location was selected under the report's MoRTH blackspot methodology; the workbook rank is derived from severity outcomes.</t>
  </si>
  <si>
    <t>Police-FIR blackspot evidence: 17 crashes, 2 fatalities, 14 major injuries and 2 minor injuries in the source table. The location was selected under the report's MoRTH blackspot methodology; the workbook rank is derived from severity outcomes.</t>
  </si>
  <si>
    <t>Police-FIR blackspot evidence: 15 crashes, 3 fatalities, 12 major injuries and 3 minor injuries in the source table. The location was selected under the report's MoRTH blackspot methodology; the workbook rank is derived from severity outcomes.</t>
  </si>
  <si>
    <t>2025 reporting describes the Gorewada-Mankapur stretch as a frequent accident zone with inadequate traffic management.</t>
  </si>
  <si>
    <t>https://timesofindia.indiatimes.com/city/nagpur/van-school-bus-crash-puts-spotlight-on-gorewada-mankapur-stretch/articleshow/123874461.cms</t>
  </si>
  <si>
    <t>Police-FIR blackspot evidence: 12 crashes, 3 fatalities, 12 major injuries and 1 minor injuries in the source table. The location was selected under the report's MoRTH blackspot methodology; the workbook rank is derived from severity outcomes.</t>
  </si>
  <si>
    <t>The Wadi T-Point to Amravati Road corridor was identified again by Nagpur RTO in March 2026 as accident-prone.</t>
  </si>
  <si>
    <t>https://timesofindia.indiatimes.com/city/nagpur/rto-identifies-6-accident-prone-spots-launches-drive-to-curb-fatalities/articleshow/129686851.cms</t>
  </si>
  <si>
    <t>Police-FIR blackspot evidence: 12 crashes, 4 fatalities, 10 major injuries and 1 minor injuries in the source table. The location was selected under the report's MoRTH blackspot methodology; the workbook rank is derived from severity outcomes.</t>
  </si>
  <si>
    <t>Accident_Factor</t>
  </si>
  <si>
    <t>Congestion</t>
  </si>
  <si>
    <t>Violations</t>
  </si>
  <si>
    <t>Obstruction</t>
  </si>
  <si>
    <t>Weather</t>
  </si>
  <si>
    <t>Event</t>
  </si>
  <si>
    <t>Current_Incident</t>
  </si>
  <si>
    <t>Coverage_Gap</t>
  </si>
  <si>
    <t>Risk_Score</t>
  </si>
  <si>
    <t>Risk_Class</t>
  </si>
  <si>
    <t>Deployment_Priority</t>
  </si>
  <si>
    <t>Input_Status</t>
  </si>
  <si>
    <t>Scenario_Notes</t>
  </si>
  <si>
    <t>Risk Scoring Configuration</t>
  </si>
  <si>
    <t>Factor</t>
  </si>
  <si>
    <t>Weight</t>
  </si>
  <si>
    <t>Input range</t>
  </si>
  <si>
    <t>Meaning</t>
  </si>
  <si>
    <t>Required provenance</t>
  </si>
  <si>
    <t>Default</t>
  </si>
  <si>
    <t>Accident history</t>
  </si>
  <si>
    <t>0 to 1</t>
  </si>
  <si>
    <t>Historical crash-severity factor derived from the main sheet</t>
  </si>
  <si>
    <t>REAL/DIRECT or DERIVED from cited crash records</t>
  </si>
  <si>
    <t>Formula from historical score</t>
  </si>
  <si>
    <t>Delay or speed-reduction factor</t>
  </si>
  <si>
    <t>OBSERVED, REAL API/data or SIMULATED</t>
  </si>
  <si>
    <t>Blank</t>
  </si>
  <si>
    <t>Severity-weighted violation factor</t>
  </si>
  <si>
    <t>REAL aggregate or SIMULATED</t>
  </si>
  <si>
    <t>Roadwork, pothole, blocked lane or waterlogging</t>
  </si>
  <si>
    <t>OBSERVED/REAL/SIMULATED</t>
  </si>
  <si>
    <t>Rain/visibility severity</t>
  </si>
  <si>
    <t>IMD/REAL or SIMULATED</t>
  </si>
  <si>
    <t>Local event pressure</t>
  </si>
  <si>
    <t>Official notice/OBSERVED/SIMULATED</t>
  </si>
  <si>
    <t>Current incident</t>
  </si>
  <si>
    <t>Active incident severity</t>
  </si>
  <si>
    <t>Commander entry/SIMULATED</t>
  </si>
  <si>
    <t>Coverage gap</t>
  </si>
  <si>
    <t>Used only in deployment priority, not road risk</t>
  </si>
  <si>
    <t>DERIVED from required and deployed units</t>
  </si>
  <si>
    <t>Risk class</t>
  </si>
  <si>
    <t>Minimum score</t>
  </si>
  <si>
    <t>CRITICAL</t>
  </si>
  <si>
    <t>Immediate review; not automatic dispatch</t>
  </si>
  <si>
    <t>HIGH</t>
  </si>
  <si>
    <t>High-priority coverage review</t>
  </si>
  <si>
    <t>Monitor and cover when resources allow</t>
  </si>
  <si>
    <t>LOW</t>
  </si>
  <si>
    <t>Routine monitoring</t>
  </si>
  <si>
    <t>Important rule</t>
  </si>
  <si>
    <t>Value</t>
  </si>
  <si>
    <t>Risk formula</t>
  </si>
  <si>
    <t>100 × weighted average of available factors</t>
  </si>
  <si>
    <t>Deployment priority</t>
  </si>
  <si>
    <t>0.85 × Risk Score + 15 × Coverage Gap</t>
  </si>
  <si>
    <t>Source_ID</t>
  </si>
  <si>
    <t>Publisher</t>
  </si>
  <si>
    <t>Title</t>
  </si>
  <si>
    <t>Publication_Date</t>
  </si>
  <si>
    <t>Geographic_Coverage</t>
  </si>
  <si>
    <t>Supports</t>
  </si>
  <si>
    <t>Source_URL</t>
  </si>
  <si>
    <t>Reliability</t>
  </si>
  <si>
    <t>Limitations</t>
  </si>
  <si>
    <t>iRASTE / INAI consortium</t>
  </si>
  <si>
    <t>iRASTE Nagpur Detailed Report — Table 4.3</t>
  </si>
  <si>
    <t>2024</t>
  </si>
  <si>
    <t>Nagpur city road network</t>
  </si>
  <si>
    <t>Geocoded blackspot coordinates, crashes, fatalities and injuries</t>
  </si>
  <si>
    <t>Historical data; internal inconsistency in exact FIR date range; requires current verification</t>
  </si>
  <si>
    <t>S02</t>
  </si>
  <si>
    <t>Maharashtra Highway Traffic Police</t>
  </si>
  <si>
    <t>Maharashtra Black Spot 2021-2023</t>
  </si>
  <si>
    <t>2025-01-08</t>
  </si>
  <si>
    <t>Maharashtra police units</t>
  </si>
  <si>
    <t>Official summary showing 5 Nagpur City blackspots under the reporting framework</t>
  </si>
  <si>
    <t>https://highwaypolice.maharashtra.gov.in/publication/maharashtra-black-spot-2021-2023/</t>
  </si>
  <si>
    <t>Summary counts only; does not publish location names on this page</t>
  </si>
  <si>
    <t>The Hitavada citing Nagpur Traffic Police</t>
  </si>
  <si>
    <t>23 mishap-prone spots update</t>
  </si>
  <si>
    <t>2024-12-10</t>
  </si>
  <si>
    <t>Nagpur city</t>
  </si>
  <si>
    <t>Recent serious-accident counts and status for several selected locations</t>
  </si>
  <si>
    <t>News report; only some locations overlap the selected 20</t>
  </si>
  <si>
    <t>S04</t>
  </si>
  <si>
    <t>Nagpur Today citing traffic police</t>
  </si>
  <si>
    <t>23 accident-prone black spots</t>
  </si>
  <si>
    <t>2022-10-18</t>
  </si>
  <si>
    <t>Police blackspot definition and location-level accident/death/injury table</t>
  </si>
  <si>
    <t>https://www.nagpurtoday.in/traffic-cops-identify-23-accident-prone-black-spots-on-nagpur-roads/</t>
  </si>
  <si>
    <t>Older snapshot and not an official downloadable dataset</t>
  </si>
  <si>
    <t>Times of India citing Nagpur RTO</t>
  </si>
  <si>
    <t>Six accident-prone roads and junctions</t>
  </si>
  <si>
    <t>2026-03-20</t>
  </si>
  <si>
    <t>Current support for Wadi T-Point-Amravati Road and new vulnerable junctions</t>
  </si>
  <si>
    <t>News report; no coordinates or row-level counts</t>
  </si>
  <si>
    <t>Times of India</t>
  </si>
  <si>
    <t>Traffic chaos at Jhansi Rani Square</t>
  </si>
  <si>
    <t>2024-09-09</t>
  </si>
  <si>
    <t>Current congestion, parking, encroachment and wrong-side-driving context</t>
  </si>
  <si>
    <t>Observational news report, not a crash dataset</t>
  </si>
  <si>
    <t>Chikhli Square flyover hazard</t>
  </si>
  <si>
    <t>2025</t>
  </si>
  <si>
    <t>Chikhli Square</t>
  </si>
  <si>
    <t>Potholes, heavy vehicles and reported accidents</t>
  </si>
  <si>
    <t>Observational news report; no official crash count</t>
  </si>
  <si>
    <t>Gorewada-Mankapur stretch safety concern</t>
  </si>
  <si>
    <t>Gorewada-Mankapur corridor</t>
  </si>
  <si>
    <t>Recent frequent-accident-zone context</t>
  </si>
  <si>
    <t>Community concern report; no official row-level count</t>
  </si>
  <si>
    <t>Sheet</t>
  </si>
  <si>
    <t>Column_or_Block</t>
  </si>
  <si>
    <t>Type</t>
  </si>
  <si>
    <t>Definition</t>
  </si>
  <si>
    <t>User_Action</t>
  </si>
  <si>
    <t>Junctions_20</t>
  </si>
  <si>
    <t>Latitude / Longitude</t>
  </si>
  <si>
    <t>Source-reported numeric</t>
  </si>
  <si>
    <t>Coordinates published in iRASTE Table 4.3</t>
  </si>
  <si>
    <t>Open OSM link and verify marker</t>
  </si>
  <si>
    <t>Source-reported count</t>
  </si>
  <si>
    <t>Total crashes in the report's historical FIR window</t>
  </si>
  <si>
    <t>Do not relabel as current</t>
  </si>
  <si>
    <t>Deaths in the report table</t>
  </si>
  <si>
    <t>Keep source period visible</t>
  </si>
  <si>
    <t>Major injuries in the report table</t>
  </si>
  <si>
    <t>Minor injuries in the report table</t>
  </si>
  <si>
    <t>Formula</t>
  </si>
  <si>
    <t>5×fatalities + 3×major injuries + minor injuries</t>
  </si>
  <si>
    <t>Change weights only through a documented model version</t>
  </si>
  <si>
    <t>Relative_Risk_Score</t>
  </si>
  <si>
    <t>Severity index divided by maximum selected severity ×100</t>
  </si>
  <si>
    <t>Use for prototype ranking, not accident probability</t>
  </si>
  <si>
    <t>Priority_Rank / Tier</t>
  </si>
  <si>
    <t>Relative order within these selected 20</t>
  </si>
  <si>
    <t>Do not call official police classification</t>
  </si>
  <si>
    <t>Editable category</t>
  </si>
  <si>
    <t>Manual coordinate verification state</t>
  </si>
  <si>
    <t>Set Verified only after map inspection</t>
  </si>
  <si>
    <t>Evidence_Notes</t>
  </si>
  <si>
    <t>Derived narrative</t>
  </si>
  <si>
    <t>Deterministic explanation based on cited counts</t>
  </si>
  <si>
    <t>Show with source and period</t>
  </si>
  <si>
    <t>Research note</t>
  </si>
  <si>
    <t>Newer evidence where located</t>
  </si>
  <si>
    <t>Add latest official/field record</t>
  </si>
  <si>
    <t>Risk_Inputs</t>
  </si>
  <si>
    <t>Formula 0-1</t>
  </si>
  <si>
    <t>Relative historical accident factor</t>
  </si>
  <si>
    <t>Leave formula unchanged</t>
  </si>
  <si>
    <t>Editable 0-1</t>
  </si>
  <si>
    <t>Observed speed/delay or scenario factor</t>
  </si>
  <si>
    <t>Fill with OBSERVED/REAL/SIMULATED value</t>
  </si>
  <si>
    <t>Fill and record provenance</t>
  </si>
  <si>
    <t>Obstruction/Weather/Event/Incident</t>
  </si>
  <si>
    <t>Dynamic scenario factors</t>
  </si>
  <si>
    <t>Fill only with source or simulation label</t>
  </si>
  <si>
    <t>Editable/derived 0-1</t>
  </si>
  <si>
    <t>Required units not currently present</t>
  </si>
  <si>
    <t>Derive from deployments in the app</t>
  </si>
  <si>
    <t>Risk_Score / Deployment_Priority</t>
  </si>
  <si>
    <t>Weighted available-factor risk and coverage-aware priority</t>
  </si>
  <si>
    <t>Use as prototype decision support</t>
  </si>
  <si>
    <t>Sources</t>
  </si>
  <si>
    <t>All columns</t>
  </si>
  <si>
    <t>Metadata</t>
  </si>
  <si>
    <t>Publisher, URL, scope, reliability and limitation</t>
  </si>
  <si>
    <t>Add every new source before importing data</t>
  </si>
  <si>
    <t>Verified</t>
  </si>
  <si>
    <t>Gorewada to New Katol Toll 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</si>
</sst>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5324B"/>
      <name val="Aptos"/>
    </font>
    <font>
      <b/>
      <sz val="11"/>
      <color rgb="FFFFFFFF"/>
      <name val="Aptos"/>
    </font>
    <font>
      <b/>
      <sz val="14"/>
      <color rgb="FF0F766E"/>
      <name val="Aptos"/>
    </font>
    <font>
      <sz val="11"/>
      <color rgb="FF78350F"/>
      <name val="Aptos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DDF4F0"/>
      </patternFill>
    </fill>
    <fill>
      <patternFill patternType="solid">
        <fgColor rgb="FF0F766E"/>
      </patternFill>
    </fill>
    <fill>
      <patternFill patternType="solid">
        <fgColor rgb="FFE8F1F8"/>
      </patternFill>
    </fill>
    <fill>
      <patternFill patternType="solid">
        <fgColor rgb="FFFEF3C7"/>
      </patternFill>
    </fill>
  </fills>
  <borders count="21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3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1" fillId="4" borderId="6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164" fontId="3" fillId="0" borderId="4" xfId="0" applyNumberFormat="1" applyFont="1" applyBorder="1" applyAlignment="1">
      <alignment vertical="top" wrapText="1"/>
    </xf>
    <xf numFmtId="1" fontId="3" fillId="0" borderId="4" xfId="0" applyNumberFormat="1" applyFont="1" applyBorder="1" applyAlignment="1">
      <alignment vertical="top"/>
    </xf>
    <xf numFmtId="0" fontId="3" fillId="0" borderId="5" xfId="0" applyFont="1" applyBorder="1" applyAlignment="1">
      <alignment vertical="top"/>
    </xf>
    <xf numFmtId="164" fontId="3" fillId="0" borderId="5" xfId="0" applyNumberFormat="1" applyFont="1" applyBorder="1" applyAlignment="1">
      <alignment vertical="top" wrapText="1"/>
    </xf>
    <xf numFmtId="1" fontId="3" fillId="0" borderId="5" xfId="0" applyNumberFormat="1" applyFont="1" applyBorder="1" applyAlignment="1">
      <alignment vertical="top"/>
    </xf>
    <xf numFmtId="0" fontId="5" fillId="4" borderId="6" xfId="0" applyFont="1" applyFill="1" applyBorder="1" applyAlignment="1">
      <alignment vertical="center" wrapText="1"/>
    </xf>
    <xf numFmtId="9" fontId="3" fillId="0" borderId="3" xfId="0" applyNumberFormat="1" applyFont="1" applyBorder="1" applyAlignment="1">
      <alignment vertical="top"/>
    </xf>
    <xf numFmtId="9" fontId="3" fillId="0" borderId="4" xfId="0" applyNumberFormat="1" applyFont="1" applyBorder="1" applyAlignment="1">
      <alignment vertical="top"/>
    </xf>
    <xf numFmtId="9" fontId="3" fillId="0" borderId="5" xfId="0" applyNumberFormat="1" applyFont="1" applyBorder="1" applyAlignment="1">
      <alignment vertical="top"/>
    </xf>
    <xf numFmtId="0" fontId="4" fillId="5" borderId="7" xfId="0" applyFont="1" applyFill="1" applyBorder="1"/>
    <xf numFmtId="0" fontId="6" fillId="5" borderId="8" xfId="0" applyFont="1" applyFill="1" applyBorder="1"/>
    <xf numFmtId="0" fontId="4" fillId="5" borderId="9" xfId="0" applyFont="1" applyFill="1" applyBorder="1"/>
    <xf numFmtId="0" fontId="6" fillId="5" borderId="10" xfId="0" applyFont="1" applyFill="1" applyBorder="1"/>
    <xf numFmtId="0" fontId="4" fillId="5" borderId="11" xfId="0" applyFont="1" applyFill="1" applyBorder="1"/>
    <xf numFmtId="0" fontId="6" fillId="5" borderId="12" xfId="0" applyFont="1" applyFill="1" applyBorder="1"/>
    <xf numFmtId="2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2" fontId="3" fillId="0" borderId="4" xfId="0" applyNumberFormat="1" applyFont="1" applyBorder="1" applyAlignment="1">
      <alignment vertical="top" wrapText="1"/>
    </xf>
    <xf numFmtId="1" fontId="3" fillId="0" borderId="4" xfId="0" applyNumberFormat="1" applyFont="1" applyBorder="1" applyAlignment="1">
      <alignment vertical="top" wrapText="1"/>
    </xf>
    <xf numFmtId="2" fontId="3" fillId="0" borderId="5" xfId="0" applyNumberFormat="1" applyFont="1" applyBorder="1" applyAlignment="1">
      <alignment vertical="top" wrapText="1"/>
    </xf>
    <xf numFmtId="1" fontId="3" fillId="0" borderId="5" xfId="0" applyNumberFormat="1" applyFont="1" applyBorder="1" applyAlignment="1">
      <alignment vertical="top" wrapText="1"/>
    </xf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7" fillId="6" borderId="13" xfId="0" applyFont="1" applyFill="1" applyBorder="1" applyAlignment="1">
      <alignment vertical="center" wrapText="1"/>
    </xf>
    <xf numFmtId="0" fontId="7" fillId="6" borderId="14" xfId="0" applyFont="1" applyFill="1" applyBorder="1" applyAlignment="1">
      <alignment vertical="center" wrapText="1"/>
    </xf>
    <xf numFmtId="0" fontId="7" fillId="6" borderId="15" xfId="0" applyFont="1" applyFill="1" applyBorder="1" applyAlignment="1">
      <alignment vertical="center" wrapText="1"/>
    </xf>
    <xf numFmtId="0" fontId="7" fillId="6" borderId="16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6" borderId="17" xfId="0" applyFont="1" applyFill="1" applyBorder="1" applyAlignment="1">
      <alignment vertical="center" wrapText="1"/>
    </xf>
    <xf numFmtId="0" fontId="7" fillId="6" borderId="18" xfId="0" applyFont="1" applyFill="1" applyBorder="1" applyAlignment="1">
      <alignment vertical="center" wrapText="1"/>
    </xf>
    <xf numFmtId="0" fontId="7" fillId="6" borderId="19" xfId="0" applyFont="1" applyFill="1" applyBorder="1" applyAlignment="1">
      <alignment vertical="center" wrapText="1"/>
    </xf>
    <xf numFmtId="0" fontId="7" fillId="6" borderId="20" xfId="0" applyFont="1" applyFill="1" applyBorder="1" applyAlignment="1">
      <alignment vertical="center" wrapText="1"/>
    </xf>
    <xf numFmtId="0" fontId="4" fillId="5" borderId="0" xfId="0" applyFont="1" applyFill="1"/>
    <xf numFmtId="0" fontId="8" fillId="0" borderId="3" xfId="1" applyBorder="1" applyAlignment="1">
      <alignment vertical="top" wrapText="1"/>
    </xf>
    <xf numFmtId="0" fontId="8" fillId="0" borderId="5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Historical Relative Risk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Risk Score</c:v>
          </c:tx>
          <c:invertIfNegative val="1"/>
          <c:cat>
            <c:strRef>
              <c:f>Summary!$B$10:$B$19</c:f>
              <c:strCache>
                <c:ptCount val="10"/>
                <c:pt idx="0">
                  <c:v>Chhatrapati Square</c:v>
                </c:pt>
                <c:pt idx="1">
                  <c:v>Juni Pardi Naka Chowk</c:v>
                </c:pt>
                <c:pt idx="2">
                  <c:v>Jhansi Rani Square</c:v>
                </c:pt>
                <c:pt idx="3">
                  <c:v>Jingabai Takli to Zhanda Chowk</c:v>
                </c:pt>
                <c:pt idx="4">
                  <c:v>Chikli Square</c:v>
                </c:pt>
                <c:pt idx="5">
                  <c:v>Maruti Seva Square, Kamptee Road</c:v>
                </c:pt>
                <c:pt idx="6">
                  <c:v>Shitla Mata Square</c:v>
                </c:pt>
                <c:pt idx="7">
                  <c:v>Kharbi Chowk</c:v>
                </c:pt>
                <c:pt idx="8">
                  <c:v>Mhalgi Nagar Square</c:v>
                </c:pt>
                <c:pt idx="9">
                  <c:v>Ravi Nagar</c:v>
                </c:pt>
              </c:strCache>
            </c:strRef>
          </c:cat>
          <c:val>
            <c:numRef>
              <c:f>Summary!$C$10:$C$19</c:f>
              <c:numCache>
                <c:formatCode>0</c:formatCode>
                <c:ptCount val="10"/>
                <c:pt idx="0">
                  <c:v>100</c:v>
                </c:pt>
                <c:pt idx="1">
                  <c:v>81</c:v>
                </c:pt>
                <c:pt idx="2">
                  <c:v>81</c:v>
                </c:pt>
                <c:pt idx="3">
                  <c:v>79</c:v>
                </c:pt>
                <c:pt idx="4">
                  <c:v>72</c:v>
                </c:pt>
                <c:pt idx="5">
                  <c:v>63</c:v>
                </c:pt>
                <c:pt idx="6">
                  <c:v>63</c:v>
                </c:pt>
                <c:pt idx="7">
                  <c:v>46</c:v>
                </c:pt>
                <c:pt idx="8">
                  <c:v>42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3-41CB-9113-307A86D3C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nctionsTable" displayName="JunctionsTable" ref="A1:X21" totalsRowShown="0">
  <tableColumns count="24">
    <tableColumn id="1" xr3:uid="{00000000-0010-0000-0000-000001000000}" name="Junction_ID"/>
    <tableColumn id="2" xr3:uid="{00000000-0010-0000-0000-000002000000}" name="Location_Name"/>
    <tableColumn id="3" xr3:uid="{00000000-0010-0000-0000-000003000000}" name="Latitude"/>
    <tableColumn id="4" xr3:uid="{00000000-0010-0000-0000-000004000000}" name="Longitude"/>
    <tableColumn id="5" xr3:uid="{00000000-0010-0000-0000-000005000000}" name="Section_Type"/>
    <tableColumn id="6" xr3:uid="{00000000-0010-0000-0000-000006000000}" name="Corridor_or_Area_Derived"/>
    <tableColumn id="7" xr3:uid="{00000000-0010-0000-0000-000007000000}" name="Area_Context_Derived"/>
    <tableColumn id="8" xr3:uid="{00000000-0010-0000-0000-000008000000}" name="Historical_Crashes"/>
    <tableColumn id="9" xr3:uid="{00000000-0010-0000-0000-000009000000}" name="Fatalities"/>
    <tableColumn id="10" xr3:uid="{00000000-0010-0000-0000-00000A000000}" name="Major_Injuries"/>
    <tableColumn id="11" xr3:uid="{00000000-0010-0000-0000-00000B000000}" name="Minor_Injuries"/>
    <tableColumn id="12" xr3:uid="{00000000-0010-0000-0000-00000C000000}" name="Weighted_Severity_Index"/>
    <tableColumn id="13" xr3:uid="{00000000-0010-0000-0000-00000D000000}" name="Relative_Risk_Score_0_100"/>
    <tableColumn id="14" xr3:uid="{00000000-0010-0000-0000-00000E000000}" name="Priority_Rank"/>
    <tableColumn id="15" xr3:uid="{00000000-0010-0000-0000-00000F000000}" name="Historical_Priority_Tier"/>
    <tableColumn id="16" xr3:uid="{00000000-0010-0000-0000-000010000000}" name="Coordinate_QA"/>
    <tableColumn id="17" xr3:uid="{00000000-0010-0000-0000-000011000000}" name="Manual_Map_Check"/>
    <tableColumn id="18" xr3:uid="{00000000-0010-0000-0000-000012000000}" name="OSM_Map_URL"/>
    <tableColumn id="19" xr3:uid="{00000000-0010-0000-0000-000013000000}" name="Data_Period"/>
    <tableColumn id="20" xr3:uid="{00000000-0010-0000-0000-000014000000}" name="Data_Classification"/>
    <tableColumn id="21" xr3:uid="{00000000-0010-0000-0000-000015000000}" name="Base_Source_ID"/>
    <tableColumn id="22" xr3:uid="{00000000-0010-0000-0000-000016000000}" name="Evidence_Source_ID"/>
    <tableColumn id="23" xr3:uid="{00000000-0010-0000-0000-000017000000}" name="Import_Ready"/>
    <tableColumn id="24" xr3:uid="{00000000-0010-0000-0000-000018000000}" name="User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Table" displayName="EvidenceTable" ref="A1:I21" totalsRowShown="0">
  <tableColumns count="9">
    <tableColumn id="1" xr3:uid="{00000000-0010-0000-0100-000001000000}" name="Junction_ID"/>
    <tableColumn id="2" xr3:uid="{00000000-0010-0000-0100-000002000000}" name="Location_Name"/>
    <tableColumn id="3" xr3:uid="{00000000-0010-0000-0100-000003000000}" name="Valid_Risk_Reason"/>
    <tableColumn id="4" xr3:uid="{00000000-0010-0000-0100-000004000000}" name="Recent_Evidence_or_Status"/>
    <tableColumn id="5" xr3:uid="{00000000-0010-0000-0100-000005000000}" name="Interpretation"/>
    <tableColumn id="6" xr3:uid="{00000000-0010-0000-0100-000006000000}" name="Primary_Source_URL"/>
    <tableColumn id="7" xr3:uid="{00000000-0010-0000-0100-000007000000}" name="Secondary_Source_URL"/>
    <tableColumn id="8" xr3:uid="{00000000-0010-0000-0100-000008000000}" name="Confidence"/>
    <tableColumn id="9" xr3:uid="{00000000-0010-0000-0100-000009000000}" name="Verification_Neede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InputsTable" displayName="RiskInputsTable" ref="A1:O21" totalsRowShown="0">
  <tableColumns count="15">
    <tableColumn id="1" xr3:uid="{00000000-0010-0000-0200-000001000000}" name="Junction_ID"/>
    <tableColumn id="2" xr3:uid="{00000000-0010-0000-0200-000002000000}" name="Location_Name"/>
    <tableColumn id="3" xr3:uid="{00000000-0010-0000-0200-000003000000}" name="Accident_Factor"/>
    <tableColumn id="4" xr3:uid="{00000000-0010-0000-0200-000004000000}" name="Congestion"/>
    <tableColumn id="5" xr3:uid="{00000000-0010-0000-0200-000005000000}" name="Violations"/>
    <tableColumn id="6" xr3:uid="{00000000-0010-0000-0200-000006000000}" name="Obstruction"/>
    <tableColumn id="7" xr3:uid="{00000000-0010-0000-0200-000007000000}" name="Weather"/>
    <tableColumn id="8" xr3:uid="{00000000-0010-0000-0200-000008000000}" name="Event"/>
    <tableColumn id="9" xr3:uid="{00000000-0010-0000-0200-000009000000}" name="Current_Incident"/>
    <tableColumn id="10" xr3:uid="{00000000-0010-0000-0200-00000A000000}" name="Coverage_Gap"/>
    <tableColumn id="11" xr3:uid="{00000000-0010-0000-0200-00000B000000}" name="Risk_Score"/>
    <tableColumn id="12" xr3:uid="{00000000-0010-0000-0200-00000C000000}" name="Risk_Class"/>
    <tableColumn id="13" xr3:uid="{00000000-0010-0000-0200-00000D000000}" name="Deployment_Priority"/>
    <tableColumn id="14" xr3:uid="{00000000-0010-0000-0200-00000E000000}" name="Input_Status"/>
    <tableColumn id="15" xr3:uid="{00000000-0010-0000-0200-00000F000000}" name="Scenario_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I9" totalsRowShown="0">
  <tableColumns count="9">
    <tableColumn id="1" xr3:uid="{00000000-0010-0000-0300-000001000000}" name="Source_ID"/>
    <tableColumn id="2" xr3:uid="{00000000-0010-0000-0300-000002000000}" name="Publisher"/>
    <tableColumn id="3" xr3:uid="{00000000-0010-0000-0300-000003000000}" name="Title"/>
    <tableColumn id="4" xr3:uid="{00000000-0010-0000-0300-000004000000}" name="Publication_Date"/>
    <tableColumn id="5" xr3:uid="{00000000-0010-0000-0300-000005000000}" name="Geographic_Coverage"/>
    <tableColumn id="6" xr3:uid="{00000000-0010-0000-0300-000006000000}" name="Supports"/>
    <tableColumn id="7" xr3:uid="{00000000-0010-0000-0300-000007000000}" name="Source_URL"/>
    <tableColumn id="8" xr3:uid="{00000000-0010-0000-0300-000008000000}" name="Reliability"/>
    <tableColumn id="9" xr3:uid="{00000000-0010-0000-0300-000009000000}" name="Limitation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tionaryTable" displayName="DictionaryTable" ref="A1:E19" totalsRowShown="0">
  <tableColumns count="5">
    <tableColumn id="1" xr3:uid="{00000000-0010-0000-0400-000001000000}" name="Sheet"/>
    <tableColumn id="2" xr3:uid="{00000000-0010-0000-0400-000002000000}" name="Column_or_Block"/>
    <tableColumn id="3" xr3:uid="{00000000-0010-0000-0400-000003000000}" name="Type"/>
    <tableColumn id="4" xr3:uid="{00000000-0010-0000-0400-000004000000}" name="Definition"/>
    <tableColumn id="5" xr3:uid="{00000000-0010-0000-0400-000005000000}" name="User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openstreetmap.org/?mlat=21.15352&amp;mlon=79.00419" TargetMode="External"/><Relationship Id="rId1" Type="http://schemas.openxmlformats.org/officeDocument/2006/relationships/hyperlink" Target="https://www.openstreetmap.org/?mlat=21.11083&amp;mlon=79.0701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sqref="A1:H2"/>
    </sheetView>
  </sheetViews>
  <sheetFormatPr defaultRowHeight="13.8"/>
  <cols>
    <col min="1" max="1" width="24" customWidth="1"/>
    <col min="2" max="2" width="95" customWidth="1"/>
  </cols>
  <sheetData>
    <row r="1" spans="1:8" ht="31.95" customHeight="1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  <c r="G1" s="39" t="s">
        <v>0</v>
      </c>
      <c r="H1" s="39" t="s">
        <v>0</v>
      </c>
    </row>
    <row r="2" spans="1:8" ht="31.95" customHeight="1">
      <c r="A2" s="39" t="s">
        <v>0</v>
      </c>
      <c r="B2" s="39" t="s">
        <v>0</v>
      </c>
      <c r="C2" s="39" t="s">
        <v>0</v>
      </c>
      <c r="D2" s="39" t="s">
        <v>0</v>
      </c>
      <c r="E2" s="39" t="s">
        <v>0</v>
      </c>
      <c r="F2" s="39" t="s">
        <v>0</v>
      </c>
      <c r="G2" s="39" t="s">
        <v>0</v>
      </c>
      <c r="H2" s="39" t="s">
        <v>0</v>
      </c>
    </row>
    <row r="3" spans="1:8" ht="14.4">
      <c r="A3" s="3"/>
      <c r="B3" s="3"/>
      <c r="C3" s="3"/>
      <c r="D3" s="3"/>
      <c r="E3" s="3"/>
      <c r="F3" s="3"/>
      <c r="G3" s="3"/>
      <c r="H3" s="3"/>
    </row>
    <row r="4" spans="1:8" ht="14.4">
      <c r="A4" s="40" t="s">
        <v>1</v>
      </c>
      <c r="B4" s="40" t="s">
        <v>1</v>
      </c>
      <c r="C4" s="40" t="s">
        <v>1</v>
      </c>
      <c r="D4" s="40" t="s">
        <v>1</v>
      </c>
      <c r="E4" s="40" t="s">
        <v>1</v>
      </c>
      <c r="F4" s="40" t="s">
        <v>1</v>
      </c>
      <c r="G4" s="40" t="s">
        <v>1</v>
      </c>
      <c r="H4" s="40" t="s">
        <v>1</v>
      </c>
    </row>
    <row r="5" spans="1:8" ht="14.4">
      <c r="A5" s="3"/>
      <c r="B5" s="3"/>
      <c r="C5" s="3"/>
      <c r="D5" s="3"/>
      <c r="E5" s="3"/>
      <c r="F5" s="3"/>
      <c r="G5" s="3"/>
      <c r="H5" s="3"/>
    </row>
    <row r="6" spans="1:8" ht="34.049999999999997" customHeight="1">
      <c r="A6" s="4" t="s">
        <v>2</v>
      </c>
      <c r="B6" s="5" t="s">
        <v>3</v>
      </c>
      <c r="C6" s="3"/>
      <c r="D6" s="3"/>
      <c r="E6" s="3"/>
      <c r="F6" s="3"/>
      <c r="G6" s="3"/>
      <c r="H6" s="3"/>
    </row>
    <row r="7" spans="1:8" ht="28.8">
      <c r="A7" s="6" t="s">
        <v>4</v>
      </c>
      <c r="B7" s="7" t="s">
        <v>5</v>
      </c>
      <c r="C7" s="3"/>
      <c r="D7" s="3"/>
      <c r="E7" s="3"/>
      <c r="F7" s="3"/>
      <c r="G7" s="3"/>
      <c r="H7" s="3"/>
    </row>
    <row r="8" spans="1:8" ht="14.4">
      <c r="A8" s="8" t="s">
        <v>6</v>
      </c>
      <c r="B8" s="9" t="s">
        <v>7</v>
      </c>
      <c r="C8" s="3"/>
      <c r="D8" s="3"/>
      <c r="E8" s="3"/>
      <c r="F8" s="3"/>
      <c r="G8" s="3"/>
      <c r="H8" s="3"/>
    </row>
    <row r="9" spans="1:8" ht="14.4">
      <c r="A9" s="8" t="s">
        <v>8</v>
      </c>
      <c r="B9" s="9" t="s">
        <v>9</v>
      </c>
      <c r="C9" s="3"/>
      <c r="D9" s="3"/>
      <c r="E9" s="3"/>
      <c r="F9" s="3"/>
      <c r="G9" s="3"/>
      <c r="H9" s="3"/>
    </row>
    <row r="10" spans="1:8" ht="28.8">
      <c r="A10" s="8" t="s">
        <v>10</v>
      </c>
      <c r="B10" s="9" t="s">
        <v>11</v>
      </c>
      <c r="C10" s="3"/>
      <c r="D10" s="3"/>
      <c r="E10" s="3"/>
      <c r="F10" s="3"/>
      <c r="G10" s="3"/>
      <c r="H10" s="3"/>
    </row>
    <row r="11" spans="1:8" ht="28.8">
      <c r="A11" s="8" t="s">
        <v>12</v>
      </c>
      <c r="B11" s="9" t="s">
        <v>13</v>
      </c>
      <c r="C11" s="3"/>
      <c r="D11" s="3"/>
      <c r="E11" s="3"/>
      <c r="F11" s="3"/>
      <c r="G11" s="3"/>
      <c r="H11" s="3"/>
    </row>
    <row r="12" spans="1:8" ht="28.8">
      <c r="A12" s="8" t="s">
        <v>14</v>
      </c>
      <c r="B12" s="9" t="s">
        <v>15</v>
      </c>
      <c r="C12" s="3"/>
      <c r="D12" s="3"/>
      <c r="E12" s="3"/>
      <c r="F12" s="3"/>
      <c r="G12" s="3"/>
      <c r="H12" s="3"/>
    </row>
    <row r="13" spans="1:8" ht="28.8">
      <c r="A13" s="8" t="s">
        <v>16</v>
      </c>
      <c r="B13" s="9" t="s">
        <v>17</v>
      </c>
      <c r="C13" s="3"/>
      <c r="D13" s="3"/>
      <c r="E13" s="3"/>
      <c r="F13" s="3"/>
      <c r="G13" s="3"/>
      <c r="H13" s="3"/>
    </row>
    <row r="14" spans="1:8" ht="28.8">
      <c r="A14" s="8" t="s">
        <v>18</v>
      </c>
      <c r="B14" s="9" t="s">
        <v>19</v>
      </c>
      <c r="C14" s="3"/>
      <c r="D14" s="3"/>
      <c r="E14" s="3"/>
      <c r="F14" s="3"/>
      <c r="G14" s="3"/>
      <c r="H14" s="3"/>
    </row>
    <row r="15" spans="1:8" ht="14.4">
      <c r="A15" s="8" t="s">
        <v>20</v>
      </c>
      <c r="B15" s="9" t="s">
        <v>21</v>
      </c>
      <c r="C15" s="3"/>
      <c r="D15" s="3"/>
      <c r="E15" s="3"/>
      <c r="F15" s="3"/>
      <c r="G15" s="3"/>
      <c r="H15" s="3"/>
    </row>
    <row r="16" spans="1:8" ht="28.8">
      <c r="A16" s="10" t="s">
        <v>22</v>
      </c>
      <c r="B16" s="11" t="s">
        <v>23</v>
      </c>
      <c r="C16" s="3"/>
      <c r="D16" s="3"/>
      <c r="E16" s="3"/>
      <c r="F16" s="3"/>
      <c r="G16" s="3"/>
      <c r="H16" s="3"/>
    </row>
  </sheetData>
  <mergeCells count="2"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showGridLines="0" tabSelected="1" topLeftCell="E3" zoomScale="126" workbookViewId="0">
      <selection activeCell="A7" sqref="A7"/>
    </sheetView>
  </sheetViews>
  <sheetFormatPr defaultRowHeight="13.8"/>
  <cols>
    <col min="1" max="1" width="24" customWidth="1"/>
    <col min="2" max="2" width="34" customWidth="1"/>
    <col min="3" max="5" width="15" customWidth="1"/>
    <col min="6" max="14" width="13" customWidth="1"/>
  </cols>
  <sheetData>
    <row r="1" spans="1:14" ht="31.95" customHeight="1">
      <c r="A1" s="39" t="s">
        <v>24</v>
      </c>
      <c r="B1" s="39" t="s">
        <v>24</v>
      </c>
      <c r="C1" s="39" t="s">
        <v>24</v>
      </c>
      <c r="D1" s="39" t="s">
        <v>24</v>
      </c>
      <c r="E1" s="39" t="s">
        <v>24</v>
      </c>
      <c r="F1" s="39" t="s">
        <v>24</v>
      </c>
      <c r="G1" s="39" t="s">
        <v>24</v>
      </c>
      <c r="H1" s="39" t="s">
        <v>24</v>
      </c>
      <c r="I1" s="39" t="s">
        <v>24</v>
      </c>
      <c r="J1" s="39" t="s">
        <v>24</v>
      </c>
      <c r="K1" s="39" t="s">
        <v>24</v>
      </c>
      <c r="L1" s="39" t="s">
        <v>24</v>
      </c>
      <c r="M1" s="39" t="s">
        <v>24</v>
      </c>
      <c r="N1" s="39" t="s">
        <v>24</v>
      </c>
    </row>
    <row r="2" spans="1:14" ht="31.95" customHeight="1">
      <c r="A2" s="39" t="s">
        <v>24</v>
      </c>
      <c r="B2" s="39" t="s">
        <v>24</v>
      </c>
      <c r="C2" s="39" t="s">
        <v>24</v>
      </c>
      <c r="D2" s="39" t="s">
        <v>24</v>
      </c>
      <c r="E2" s="39" t="s">
        <v>24</v>
      </c>
      <c r="F2" s="39" t="s">
        <v>24</v>
      </c>
      <c r="G2" s="39" t="s">
        <v>24</v>
      </c>
      <c r="H2" s="39" t="s">
        <v>24</v>
      </c>
      <c r="I2" s="39" t="s">
        <v>24</v>
      </c>
      <c r="J2" s="39" t="s">
        <v>24</v>
      </c>
      <c r="K2" s="39" t="s">
        <v>24</v>
      </c>
      <c r="L2" s="39" t="s">
        <v>24</v>
      </c>
      <c r="M2" s="39" t="s">
        <v>24</v>
      </c>
      <c r="N2" s="39" t="s">
        <v>24</v>
      </c>
    </row>
    <row r="3" spans="1:14" ht="14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8">
      <c r="A4" s="27" t="s">
        <v>6</v>
      </c>
      <c r="B4" s="28">
        <f>COUNTA(Junctions_20!$A$2:$A$21)</f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8">
      <c r="A5" s="29" t="s">
        <v>25</v>
      </c>
      <c r="B5" s="30">
        <f>SUM(Junctions_20!$H$2:$H$21)</f>
        <v>466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8">
      <c r="A6" s="29" t="s">
        <v>26</v>
      </c>
      <c r="B6" s="30">
        <f>SUM(Junctions_20!$I$2:$I$21)</f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8">
      <c r="A7" s="31" t="s">
        <v>27</v>
      </c>
      <c r="B7" s="32">
        <f>SUM(Junctions_20!$J$2:$J$21)</f>
        <v>361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4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34.049999999999997" customHeight="1">
      <c r="A9" s="4" t="s">
        <v>28</v>
      </c>
      <c r="B9" s="23" t="s">
        <v>29</v>
      </c>
      <c r="C9" s="23" t="s">
        <v>30</v>
      </c>
      <c r="D9" s="23" t="s">
        <v>31</v>
      </c>
      <c r="E9" s="5" t="s">
        <v>26</v>
      </c>
      <c r="F9" s="3"/>
      <c r="G9" s="3"/>
      <c r="H9" s="3"/>
      <c r="I9" s="3"/>
      <c r="J9" s="3"/>
      <c r="K9" s="3"/>
      <c r="L9" s="3"/>
      <c r="M9" s="3"/>
      <c r="N9" s="3"/>
    </row>
    <row r="10" spans="1:14" ht="14.4">
      <c r="A10" s="16">
        <f>Junctions_20!N2</f>
        <v>1</v>
      </c>
      <c r="B10" s="14" t="str">
        <f>Junctions_20!B2</f>
        <v>Chhatrapati Square</v>
      </c>
      <c r="C10" s="16">
        <f>Junctions_20!M2</f>
        <v>100</v>
      </c>
      <c r="D10" s="14" t="str">
        <f>Junctions_20!O2</f>
        <v>CRITICAL</v>
      </c>
      <c r="E10" s="16">
        <f>Junctions_20!I2</f>
        <v>12</v>
      </c>
      <c r="F10" s="3"/>
      <c r="G10" s="3"/>
      <c r="H10" s="3"/>
      <c r="I10" s="3"/>
      <c r="J10" s="3"/>
      <c r="K10" s="3"/>
      <c r="L10" s="3"/>
      <c r="M10" s="3"/>
      <c r="N10" s="3"/>
    </row>
    <row r="11" spans="1:14" ht="14.4">
      <c r="A11" s="19">
        <f>Junctions_20!N3</f>
        <v>2</v>
      </c>
      <c r="B11" s="17" t="str">
        <f>Junctions_20!B3</f>
        <v>Juni Pardi Naka Chowk</v>
      </c>
      <c r="C11" s="19">
        <f>Junctions_20!M3</f>
        <v>81</v>
      </c>
      <c r="D11" s="17" t="str">
        <f>Junctions_20!O3</f>
        <v>CRITICAL</v>
      </c>
      <c r="E11" s="19">
        <f>Junctions_20!I3</f>
        <v>13</v>
      </c>
      <c r="F11" s="3"/>
      <c r="G11" s="3"/>
      <c r="H11" s="3"/>
      <c r="I11" s="3"/>
      <c r="J11" s="3"/>
      <c r="K11" s="3"/>
      <c r="L11" s="3"/>
      <c r="M11" s="3"/>
      <c r="N11" s="3"/>
    </row>
    <row r="12" spans="1:14" ht="14.4">
      <c r="A12" s="19">
        <f>Junctions_20!N4</f>
        <v>3</v>
      </c>
      <c r="B12" s="17" t="str">
        <f>Junctions_20!B4</f>
        <v>Jhansi Rani Square</v>
      </c>
      <c r="C12" s="19">
        <f>Junctions_20!M4</f>
        <v>81</v>
      </c>
      <c r="D12" s="17" t="str">
        <f>Junctions_20!O4</f>
        <v>CRITICAL</v>
      </c>
      <c r="E12" s="19">
        <f>Junctions_20!I4</f>
        <v>7</v>
      </c>
      <c r="F12" s="3"/>
      <c r="G12" s="3"/>
      <c r="H12" s="3"/>
      <c r="I12" s="3"/>
      <c r="J12" s="3"/>
      <c r="K12" s="3"/>
      <c r="L12" s="3"/>
      <c r="M12" s="3"/>
      <c r="N12" s="3"/>
    </row>
    <row r="13" spans="1:14" ht="14.4">
      <c r="A13" s="19">
        <f>Junctions_20!N5</f>
        <v>4</v>
      </c>
      <c r="B13" s="17" t="str">
        <f>Junctions_20!B5</f>
        <v>Jingabai Takli to Zhanda Chowk</v>
      </c>
      <c r="C13" s="19">
        <f>Junctions_20!M5</f>
        <v>79</v>
      </c>
      <c r="D13" s="17" t="str">
        <f>Junctions_20!O5</f>
        <v>CRITICAL</v>
      </c>
      <c r="E13" s="19">
        <f>Junctions_20!I5</f>
        <v>12</v>
      </c>
      <c r="F13" s="3"/>
      <c r="G13" s="3"/>
      <c r="H13" s="3"/>
      <c r="I13" s="3"/>
      <c r="J13" s="3"/>
      <c r="K13" s="3"/>
      <c r="L13" s="3"/>
      <c r="M13" s="3"/>
      <c r="N13" s="3"/>
    </row>
    <row r="14" spans="1:14" ht="14.4">
      <c r="A14" s="19">
        <f>Junctions_20!N6</f>
        <v>5</v>
      </c>
      <c r="B14" s="17" t="str">
        <f>Junctions_20!B6</f>
        <v>Chikli Square</v>
      </c>
      <c r="C14" s="19">
        <f>Junctions_20!M6</f>
        <v>72</v>
      </c>
      <c r="D14" s="17" t="str">
        <f>Junctions_20!O6</f>
        <v>HIGH</v>
      </c>
      <c r="E14" s="19">
        <f>Junctions_20!I6</f>
        <v>14</v>
      </c>
      <c r="F14" s="3"/>
      <c r="G14" s="3"/>
      <c r="H14" s="3"/>
      <c r="I14" s="3"/>
      <c r="J14" s="3"/>
      <c r="K14" s="3"/>
      <c r="L14" s="3"/>
      <c r="M14" s="3"/>
      <c r="N14" s="3"/>
    </row>
    <row r="15" spans="1:14" ht="14.4">
      <c r="A15" s="19">
        <f>Junctions_20!N7</f>
        <v>6</v>
      </c>
      <c r="B15" s="17" t="str">
        <f>Junctions_20!B7</f>
        <v>Maruti Seva Square, Kamptee Road</v>
      </c>
      <c r="C15" s="19">
        <f>Junctions_20!M7</f>
        <v>63</v>
      </c>
      <c r="D15" s="17" t="str">
        <f>Junctions_20!O7</f>
        <v>HIGH</v>
      </c>
      <c r="E15" s="19">
        <f>Junctions_20!I7</f>
        <v>11</v>
      </c>
      <c r="F15" s="3"/>
      <c r="G15" s="3"/>
      <c r="H15" s="3"/>
      <c r="I15" s="3"/>
      <c r="J15" s="3"/>
      <c r="K15" s="3"/>
      <c r="L15" s="3"/>
      <c r="M15" s="3"/>
      <c r="N15" s="3"/>
    </row>
    <row r="16" spans="1:14" ht="14.4">
      <c r="A16" s="19">
        <f>Junctions_20!N8</f>
        <v>6</v>
      </c>
      <c r="B16" s="17" t="str">
        <f>Junctions_20!B8</f>
        <v>Shitla Mata Square</v>
      </c>
      <c r="C16" s="19">
        <f>Junctions_20!M8</f>
        <v>63</v>
      </c>
      <c r="D16" s="17" t="str">
        <f>Junctions_20!O8</f>
        <v>HIGH</v>
      </c>
      <c r="E16" s="19">
        <f>Junctions_20!I8</f>
        <v>6</v>
      </c>
      <c r="F16" s="3"/>
      <c r="G16" s="3"/>
      <c r="H16" s="3"/>
      <c r="I16" s="3"/>
      <c r="J16" s="3"/>
      <c r="K16" s="3"/>
      <c r="L16" s="3"/>
      <c r="M16" s="3"/>
      <c r="N16" s="3"/>
    </row>
    <row r="17" spans="1:14" ht="14.4">
      <c r="A17" s="19">
        <f>Junctions_20!N9</f>
        <v>8</v>
      </c>
      <c r="B17" s="17" t="str">
        <f>Junctions_20!B9</f>
        <v>Kharbi Chowk</v>
      </c>
      <c r="C17" s="19">
        <f>Junctions_20!M9</f>
        <v>46</v>
      </c>
      <c r="D17" s="17" t="str">
        <f>Junctions_20!O9</f>
        <v>HIGH</v>
      </c>
      <c r="E17" s="19">
        <f>Junctions_20!I9</f>
        <v>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 ht="14.4">
      <c r="A18" s="19">
        <f>Junctions_20!N10</f>
        <v>9</v>
      </c>
      <c r="B18" s="17" t="str">
        <f>Junctions_20!B10</f>
        <v>Mhalgi Nagar Square</v>
      </c>
      <c r="C18" s="19">
        <f>Junctions_20!M10</f>
        <v>42</v>
      </c>
      <c r="D18" s="17" t="str">
        <f>Junctions_20!O10</f>
        <v>HIGH</v>
      </c>
      <c r="E18" s="19">
        <f>Junctions_20!I10</f>
        <v>4</v>
      </c>
      <c r="F18" s="3"/>
      <c r="G18" s="3"/>
      <c r="H18" s="3"/>
      <c r="I18" s="3"/>
      <c r="J18" s="3"/>
      <c r="K18" s="3"/>
      <c r="L18" s="3"/>
      <c r="M18" s="3"/>
      <c r="N18" s="3"/>
    </row>
    <row r="19" spans="1:14" ht="14.4">
      <c r="A19" s="22">
        <f>Junctions_20!N11</f>
        <v>10</v>
      </c>
      <c r="B19" s="20" t="str">
        <f>Junctions_20!B11</f>
        <v>Ravi Nagar</v>
      </c>
      <c r="C19" s="22">
        <f>Junctions_20!M11</f>
        <v>41</v>
      </c>
      <c r="D19" s="20" t="str">
        <f>Junctions_20!O11</f>
        <v>HIGH</v>
      </c>
      <c r="E19" s="22">
        <f>Junctions_20!I11</f>
        <v>5</v>
      </c>
      <c r="F19" s="3"/>
      <c r="G19" s="3"/>
      <c r="H19" s="3"/>
      <c r="I19" s="3"/>
      <c r="J19" s="3"/>
      <c r="K19" s="3"/>
      <c r="L19" s="3"/>
      <c r="M19" s="3"/>
      <c r="N19" s="3"/>
    </row>
    <row r="20" spans="1:14" ht="14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41" t="s">
        <v>32</v>
      </c>
      <c r="B21" s="42" t="s">
        <v>32</v>
      </c>
      <c r="C21" s="42" t="s">
        <v>32</v>
      </c>
      <c r="D21" s="42" t="s">
        <v>32</v>
      </c>
      <c r="E21" s="42" t="s">
        <v>32</v>
      </c>
      <c r="F21" s="42" t="s">
        <v>32</v>
      </c>
      <c r="G21" s="42" t="s">
        <v>32</v>
      </c>
      <c r="H21" s="42" t="s">
        <v>32</v>
      </c>
      <c r="I21" s="42" t="s">
        <v>32</v>
      </c>
      <c r="J21" s="42" t="s">
        <v>32</v>
      </c>
      <c r="K21" s="42" t="s">
        <v>32</v>
      </c>
      <c r="L21" s="42" t="s">
        <v>32</v>
      </c>
      <c r="M21" s="42" t="s">
        <v>32</v>
      </c>
      <c r="N21" s="43" t="s">
        <v>32</v>
      </c>
    </row>
    <row r="22" spans="1:14">
      <c r="A22" s="44" t="s">
        <v>32</v>
      </c>
      <c r="B22" s="45" t="s">
        <v>32</v>
      </c>
      <c r="C22" s="45" t="s">
        <v>32</v>
      </c>
      <c r="D22" s="45" t="s">
        <v>32</v>
      </c>
      <c r="E22" s="45" t="s">
        <v>32</v>
      </c>
      <c r="F22" s="45" t="s">
        <v>32</v>
      </c>
      <c r="G22" s="45" t="s">
        <v>32</v>
      </c>
      <c r="H22" s="45" t="s">
        <v>32</v>
      </c>
      <c r="I22" s="45" t="s">
        <v>32</v>
      </c>
      <c r="J22" s="45" t="s">
        <v>32</v>
      </c>
      <c r="K22" s="45" t="s">
        <v>32</v>
      </c>
      <c r="L22" s="45" t="s">
        <v>32</v>
      </c>
      <c r="M22" s="45" t="s">
        <v>32</v>
      </c>
      <c r="N22" s="46" t="s">
        <v>32</v>
      </c>
    </row>
    <row r="23" spans="1:14">
      <c r="A23" s="44" t="s">
        <v>32</v>
      </c>
      <c r="B23" s="45" t="s">
        <v>32</v>
      </c>
      <c r="C23" s="45" t="s">
        <v>32</v>
      </c>
      <c r="D23" s="45" t="s">
        <v>32</v>
      </c>
      <c r="E23" s="45" t="s">
        <v>32</v>
      </c>
      <c r="F23" s="45" t="s">
        <v>32</v>
      </c>
      <c r="G23" s="45" t="s">
        <v>32</v>
      </c>
      <c r="H23" s="45" t="s">
        <v>32</v>
      </c>
      <c r="I23" s="45" t="s">
        <v>32</v>
      </c>
      <c r="J23" s="45" t="s">
        <v>32</v>
      </c>
      <c r="K23" s="45" t="s">
        <v>32</v>
      </c>
      <c r="L23" s="45" t="s">
        <v>32</v>
      </c>
      <c r="M23" s="45" t="s">
        <v>32</v>
      </c>
      <c r="N23" s="46" t="s">
        <v>32</v>
      </c>
    </row>
    <row r="24" spans="1:14">
      <c r="A24" s="47" t="s">
        <v>32</v>
      </c>
      <c r="B24" s="48" t="s">
        <v>32</v>
      </c>
      <c r="C24" s="48" t="s">
        <v>32</v>
      </c>
      <c r="D24" s="48" t="s">
        <v>32</v>
      </c>
      <c r="E24" s="48" t="s">
        <v>32</v>
      </c>
      <c r="F24" s="48" t="s">
        <v>32</v>
      </c>
      <c r="G24" s="48" t="s">
        <v>32</v>
      </c>
      <c r="H24" s="48" t="s">
        <v>32</v>
      </c>
      <c r="I24" s="48" t="s">
        <v>32</v>
      </c>
      <c r="J24" s="48" t="s">
        <v>32</v>
      </c>
      <c r="K24" s="48" t="s">
        <v>32</v>
      </c>
      <c r="L24" s="48" t="s">
        <v>32</v>
      </c>
      <c r="M24" s="48" t="s">
        <v>32</v>
      </c>
      <c r="N24" s="49" t="s">
        <v>32</v>
      </c>
    </row>
  </sheetData>
  <mergeCells count="2">
    <mergeCell ref="A1:N2"/>
    <mergeCell ref="A21:N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"/>
  <sheetViews>
    <sheetView showGridLines="0" topLeftCell="A10" zoomScale="90" workbookViewId="0">
      <selection activeCell="B2" sqref="B2"/>
    </sheetView>
  </sheetViews>
  <sheetFormatPr defaultRowHeight="13.8"/>
  <cols>
    <col min="1" max="1" width="12" customWidth="1"/>
    <col min="2" max="2" width="31" customWidth="1"/>
    <col min="3" max="4" width="12" customWidth="1"/>
    <col min="5" max="5" width="14" customWidth="1"/>
    <col min="6" max="6" width="34" customWidth="1"/>
    <col min="7" max="7" width="32" customWidth="1"/>
    <col min="8" max="8" width="18.09765625" customWidth="1"/>
    <col min="9" max="9" width="11" customWidth="1"/>
    <col min="10" max="11" width="14" customWidth="1"/>
    <col min="12" max="13" width="26.796875" customWidth="1"/>
    <col min="14" max="14" width="15.296875" customWidth="1"/>
    <col min="15" max="15" width="21" customWidth="1"/>
    <col min="16" max="16" width="15.19921875" customWidth="1"/>
    <col min="17" max="17" width="20" customWidth="1"/>
    <col min="18" max="18" width="55" customWidth="1"/>
    <col min="19" max="19" width="35" customWidth="1"/>
    <col min="20" max="20" width="32" customWidth="1"/>
    <col min="21" max="21" width="17.19921875" customWidth="1"/>
    <col min="22" max="22" width="21.296875" customWidth="1"/>
    <col min="23" max="23" width="14" customWidth="1"/>
    <col min="24" max="24" width="28" customWidth="1"/>
  </cols>
  <sheetData>
    <row r="1" spans="1:24" ht="34.049999999999997" customHeight="1">
      <c r="A1" s="1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26</v>
      </c>
      <c r="J1" s="12" t="s">
        <v>41</v>
      </c>
      <c r="K1" s="12" t="s">
        <v>42</v>
      </c>
      <c r="L1" s="12" t="s">
        <v>43</v>
      </c>
      <c r="M1" s="12" t="s">
        <v>44</v>
      </c>
      <c r="N1" s="12" t="s">
        <v>45</v>
      </c>
      <c r="O1" s="12" t="s">
        <v>46</v>
      </c>
      <c r="P1" s="12" t="s">
        <v>47</v>
      </c>
      <c r="Q1" s="12" t="s">
        <v>48</v>
      </c>
      <c r="R1" s="12" t="s">
        <v>49</v>
      </c>
      <c r="S1" s="12" t="s">
        <v>50</v>
      </c>
      <c r="T1" s="12" t="s">
        <v>51</v>
      </c>
      <c r="U1" s="12" t="s">
        <v>52</v>
      </c>
      <c r="V1" s="12" t="s">
        <v>53</v>
      </c>
      <c r="W1" s="12" t="s">
        <v>54</v>
      </c>
      <c r="X1" s="2" t="s">
        <v>55</v>
      </c>
    </row>
    <row r="2" spans="1:24" ht="43.95" customHeight="1">
      <c r="A2" s="14" t="s">
        <v>56</v>
      </c>
      <c r="B2" s="7" t="s">
        <v>57</v>
      </c>
      <c r="C2" s="15">
        <v>21.11083</v>
      </c>
      <c r="D2" s="15">
        <v>79.07011</v>
      </c>
      <c r="E2" s="7" t="s">
        <v>58</v>
      </c>
      <c r="F2" s="7" t="s">
        <v>59</v>
      </c>
      <c r="G2" s="7" t="s">
        <v>60</v>
      </c>
      <c r="H2" s="16">
        <v>45</v>
      </c>
      <c r="I2" s="16">
        <v>12</v>
      </c>
      <c r="J2" s="16">
        <v>37</v>
      </c>
      <c r="K2" s="16">
        <v>9</v>
      </c>
      <c r="L2" s="16">
        <f t="shared" ref="L2:L21" si="0">I2*5+J2*3+K2</f>
        <v>180</v>
      </c>
      <c r="M2" s="16">
        <f t="shared" ref="M2:M21" si="1">ROUND(L2/MAX($L$2:$L$21)*100,0)</f>
        <v>100</v>
      </c>
      <c r="N2" s="16">
        <f t="shared" ref="N2:N21" si="2">COUNTIF($L$2:$L$21,"&gt;"&amp;L2)+1</f>
        <v>1</v>
      </c>
      <c r="O2" s="14" t="str">
        <f t="shared" ref="O2:O21" si="3">IF(N2&lt;=4,"CRITICAL",IF(N2&lt;=10,"HIGH",IF(N2&lt;=16,"MEDIUM","ELEVATED")))</f>
        <v>CRITICAL</v>
      </c>
      <c r="P2" s="14" t="str">
        <f t="shared" ref="P2:P21" si="4">IF(AND(C2&gt;=20.9,C2&lt;=21.25,D2&gt;=78.9,D2&lt;=79.25),"PASS","CHECK")</f>
        <v>PASS</v>
      </c>
      <c r="Q2" s="14" t="s">
        <v>389</v>
      </c>
      <c r="R2" s="51" t="s">
        <v>61</v>
      </c>
      <c r="S2" s="7" t="s">
        <v>62</v>
      </c>
      <c r="T2" s="7" t="s">
        <v>63</v>
      </c>
      <c r="U2" s="7" t="s">
        <v>64</v>
      </c>
      <c r="V2" s="7" t="s">
        <v>65</v>
      </c>
      <c r="W2" s="7" t="str">
        <f t="shared" ref="W2:W21" si="5">IF(AND(P2="PASS",Q2="Verified"),"YES","REVIEW")</f>
        <v>YES</v>
      </c>
      <c r="X2" s="7"/>
    </row>
    <row r="3" spans="1:24" ht="43.95" customHeight="1">
      <c r="A3" s="17" t="s">
        <v>66</v>
      </c>
      <c r="B3" s="9" t="s">
        <v>67</v>
      </c>
      <c r="C3" s="18">
        <v>21.151389999999999</v>
      </c>
      <c r="D3" s="18">
        <v>79.148889999999994</v>
      </c>
      <c r="E3" s="9" t="s">
        <v>58</v>
      </c>
      <c r="F3" s="9" t="s">
        <v>68</v>
      </c>
      <c r="G3" s="9" t="s">
        <v>69</v>
      </c>
      <c r="H3" s="19">
        <v>33</v>
      </c>
      <c r="I3" s="19">
        <v>13</v>
      </c>
      <c r="J3" s="19">
        <v>25</v>
      </c>
      <c r="K3" s="19">
        <v>6</v>
      </c>
      <c r="L3" s="19">
        <f t="shared" si="0"/>
        <v>146</v>
      </c>
      <c r="M3" s="19">
        <f t="shared" si="1"/>
        <v>81</v>
      </c>
      <c r="N3" s="19">
        <f t="shared" si="2"/>
        <v>2</v>
      </c>
      <c r="O3" s="17" t="str">
        <f t="shared" si="3"/>
        <v>CRITICAL</v>
      </c>
      <c r="P3" s="17" t="str">
        <f t="shared" si="4"/>
        <v>PASS</v>
      </c>
      <c r="Q3" s="17" t="s">
        <v>389</v>
      </c>
      <c r="R3" s="9" t="s">
        <v>70</v>
      </c>
      <c r="S3" s="9" t="s">
        <v>62</v>
      </c>
      <c r="T3" s="9" t="s">
        <v>63</v>
      </c>
      <c r="U3" s="9" t="s">
        <v>64</v>
      </c>
      <c r="V3" s="9" t="s">
        <v>65</v>
      </c>
      <c r="W3" s="9" t="str">
        <f t="shared" si="5"/>
        <v>YES</v>
      </c>
      <c r="X3" s="9"/>
    </row>
    <row r="4" spans="1:24" ht="43.95" customHeight="1">
      <c r="A4" s="17" t="s">
        <v>71</v>
      </c>
      <c r="B4" s="9" t="s">
        <v>72</v>
      </c>
      <c r="C4" s="18">
        <v>21.14124</v>
      </c>
      <c r="D4" s="18">
        <v>79.080290000000005</v>
      </c>
      <c r="E4" s="9" t="s">
        <v>58</v>
      </c>
      <c r="F4" s="9" t="s">
        <v>73</v>
      </c>
      <c r="G4" s="9" t="s">
        <v>74</v>
      </c>
      <c r="H4" s="19">
        <v>41</v>
      </c>
      <c r="I4" s="19">
        <v>7</v>
      </c>
      <c r="J4" s="19">
        <v>35</v>
      </c>
      <c r="K4" s="19">
        <v>5</v>
      </c>
      <c r="L4" s="19">
        <f t="shared" si="0"/>
        <v>145</v>
      </c>
      <c r="M4" s="19">
        <f t="shared" si="1"/>
        <v>81</v>
      </c>
      <c r="N4" s="19">
        <f t="shared" si="2"/>
        <v>3</v>
      </c>
      <c r="O4" s="17" t="str">
        <f t="shared" si="3"/>
        <v>CRITICAL</v>
      </c>
      <c r="P4" s="17" t="str">
        <f t="shared" si="4"/>
        <v>PASS</v>
      </c>
      <c r="Q4" s="17" t="s">
        <v>389</v>
      </c>
      <c r="R4" s="9" t="s">
        <v>75</v>
      </c>
      <c r="S4" s="9" t="s">
        <v>62</v>
      </c>
      <c r="T4" s="9" t="s">
        <v>63</v>
      </c>
      <c r="U4" s="9" t="s">
        <v>64</v>
      </c>
      <c r="V4" s="9" t="s">
        <v>76</v>
      </c>
      <c r="W4" s="9" t="str">
        <f t="shared" si="5"/>
        <v>YES</v>
      </c>
      <c r="X4" s="9"/>
    </row>
    <row r="5" spans="1:24" ht="43.95" customHeight="1">
      <c r="A5" s="17" t="s">
        <v>77</v>
      </c>
      <c r="B5" s="9" t="s">
        <v>78</v>
      </c>
      <c r="C5" s="18">
        <v>21.187609999999999</v>
      </c>
      <c r="D5" s="18">
        <v>79.078879999999998</v>
      </c>
      <c r="E5" s="9" t="s">
        <v>58</v>
      </c>
      <c r="F5" s="9" t="s">
        <v>79</v>
      </c>
      <c r="G5" s="9" t="s">
        <v>80</v>
      </c>
      <c r="H5" s="19">
        <v>39</v>
      </c>
      <c r="I5" s="19">
        <v>12</v>
      </c>
      <c r="J5" s="19">
        <v>25</v>
      </c>
      <c r="K5" s="19">
        <v>8</v>
      </c>
      <c r="L5" s="19">
        <f t="shared" si="0"/>
        <v>143</v>
      </c>
      <c r="M5" s="19">
        <f t="shared" si="1"/>
        <v>79</v>
      </c>
      <c r="N5" s="19">
        <f t="shared" si="2"/>
        <v>4</v>
      </c>
      <c r="O5" s="17" t="str">
        <f t="shared" si="3"/>
        <v>CRITICAL</v>
      </c>
      <c r="P5" s="17" t="str">
        <f t="shared" si="4"/>
        <v>PASS</v>
      </c>
      <c r="Q5" s="17" t="s">
        <v>389</v>
      </c>
      <c r="R5" s="9" t="s">
        <v>81</v>
      </c>
      <c r="S5" s="9" t="s">
        <v>62</v>
      </c>
      <c r="T5" s="9" t="s">
        <v>63</v>
      </c>
      <c r="U5" s="9" t="s">
        <v>64</v>
      </c>
      <c r="V5" s="9" t="s">
        <v>64</v>
      </c>
      <c r="W5" s="9" t="str">
        <f t="shared" si="5"/>
        <v>YES</v>
      </c>
      <c r="X5" s="9"/>
    </row>
    <row r="6" spans="1:24" ht="43.95" customHeight="1">
      <c r="A6" s="17" t="s">
        <v>82</v>
      </c>
      <c r="B6" s="9" t="s">
        <v>83</v>
      </c>
      <c r="C6" s="18">
        <v>21.162299999999998</v>
      </c>
      <c r="D6" s="18">
        <v>79.141059999999996</v>
      </c>
      <c r="E6" s="9" t="s">
        <v>58</v>
      </c>
      <c r="F6" s="9" t="s">
        <v>84</v>
      </c>
      <c r="G6" s="9" t="s">
        <v>85</v>
      </c>
      <c r="H6" s="19">
        <v>31</v>
      </c>
      <c r="I6" s="19">
        <v>14</v>
      </c>
      <c r="J6" s="19">
        <v>18</v>
      </c>
      <c r="K6" s="19">
        <v>5</v>
      </c>
      <c r="L6" s="19">
        <f t="shared" si="0"/>
        <v>129</v>
      </c>
      <c r="M6" s="19">
        <f t="shared" si="1"/>
        <v>72</v>
      </c>
      <c r="N6" s="19">
        <f t="shared" si="2"/>
        <v>5</v>
      </c>
      <c r="O6" s="17" t="str">
        <f t="shared" si="3"/>
        <v>HIGH</v>
      </c>
      <c r="P6" s="17" t="str">
        <f t="shared" si="4"/>
        <v>PASS</v>
      </c>
      <c r="Q6" s="17" t="s">
        <v>389</v>
      </c>
      <c r="R6" s="9" t="s">
        <v>86</v>
      </c>
      <c r="S6" s="9" t="s">
        <v>62</v>
      </c>
      <c r="T6" s="9" t="s">
        <v>63</v>
      </c>
      <c r="U6" s="9" t="s">
        <v>64</v>
      </c>
      <c r="V6" s="9" t="s">
        <v>87</v>
      </c>
      <c r="W6" s="9" t="str">
        <f t="shared" si="5"/>
        <v>YES</v>
      </c>
      <c r="X6" s="9"/>
    </row>
    <row r="7" spans="1:24" ht="43.95" customHeight="1">
      <c r="A7" s="17" t="s">
        <v>88</v>
      </c>
      <c r="B7" s="9" t="s">
        <v>89</v>
      </c>
      <c r="C7" s="18">
        <v>21.183910000000001</v>
      </c>
      <c r="D7" s="18">
        <v>79.116929999999996</v>
      </c>
      <c r="E7" s="9" t="s">
        <v>58</v>
      </c>
      <c r="F7" s="9" t="s">
        <v>90</v>
      </c>
      <c r="G7" s="9" t="s">
        <v>91</v>
      </c>
      <c r="H7" s="19">
        <v>27</v>
      </c>
      <c r="I7" s="19">
        <v>11</v>
      </c>
      <c r="J7" s="19">
        <v>19</v>
      </c>
      <c r="K7" s="19">
        <v>2</v>
      </c>
      <c r="L7" s="19">
        <f t="shared" si="0"/>
        <v>114</v>
      </c>
      <c r="M7" s="19">
        <f t="shared" si="1"/>
        <v>63</v>
      </c>
      <c r="N7" s="19">
        <f t="shared" si="2"/>
        <v>6</v>
      </c>
      <c r="O7" s="17" t="str">
        <f t="shared" si="3"/>
        <v>HIGH</v>
      </c>
      <c r="P7" s="17" t="str">
        <f t="shared" si="4"/>
        <v>PASS</v>
      </c>
      <c r="Q7" s="17" t="s">
        <v>389</v>
      </c>
      <c r="R7" s="9" t="s">
        <v>92</v>
      </c>
      <c r="S7" s="9" t="s">
        <v>62</v>
      </c>
      <c r="T7" s="9" t="s">
        <v>63</v>
      </c>
      <c r="U7" s="9" t="s">
        <v>64</v>
      </c>
      <c r="V7" s="9" t="s">
        <v>65</v>
      </c>
      <c r="W7" s="9" t="str">
        <f t="shared" si="5"/>
        <v>YES</v>
      </c>
      <c r="X7" s="9"/>
    </row>
    <row r="8" spans="1:24" ht="43.95" customHeight="1">
      <c r="A8" s="17" t="s">
        <v>93</v>
      </c>
      <c r="B8" s="9" t="s">
        <v>94</v>
      </c>
      <c r="C8" s="18">
        <v>21.121939999999999</v>
      </c>
      <c r="D8" s="18">
        <v>79.121110000000002</v>
      </c>
      <c r="E8" s="9" t="s">
        <v>58</v>
      </c>
      <c r="F8" s="9" t="s">
        <v>95</v>
      </c>
      <c r="G8" s="9" t="s">
        <v>96</v>
      </c>
      <c r="H8" s="19">
        <v>27</v>
      </c>
      <c r="I8" s="19">
        <v>6</v>
      </c>
      <c r="J8" s="19">
        <v>27</v>
      </c>
      <c r="K8" s="19">
        <v>3</v>
      </c>
      <c r="L8" s="19">
        <f t="shared" si="0"/>
        <v>114</v>
      </c>
      <c r="M8" s="19">
        <f t="shared" si="1"/>
        <v>63</v>
      </c>
      <c r="N8" s="19">
        <f t="shared" si="2"/>
        <v>6</v>
      </c>
      <c r="O8" s="17" t="str">
        <f t="shared" si="3"/>
        <v>HIGH</v>
      </c>
      <c r="P8" s="17" t="str">
        <f t="shared" si="4"/>
        <v>PASS</v>
      </c>
      <c r="Q8" s="17" t="s">
        <v>389</v>
      </c>
      <c r="R8" s="9" t="s">
        <v>97</v>
      </c>
      <c r="S8" s="9" t="s">
        <v>62</v>
      </c>
      <c r="T8" s="9" t="s">
        <v>63</v>
      </c>
      <c r="U8" s="9" t="s">
        <v>64</v>
      </c>
      <c r="V8" s="9" t="s">
        <v>64</v>
      </c>
      <c r="W8" s="9" t="str">
        <f t="shared" si="5"/>
        <v>YES</v>
      </c>
      <c r="X8" s="9"/>
    </row>
    <row r="9" spans="1:24" ht="43.95" customHeight="1">
      <c r="A9" s="17" t="s">
        <v>98</v>
      </c>
      <c r="B9" s="9" t="s">
        <v>99</v>
      </c>
      <c r="C9" s="18">
        <v>21.12425</v>
      </c>
      <c r="D9" s="18">
        <v>79.138480000000001</v>
      </c>
      <c r="E9" s="9" t="s">
        <v>58</v>
      </c>
      <c r="F9" s="9" t="s">
        <v>100</v>
      </c>
      <c r="G9" s="9" t="s">
        <v>101</v>
      </c>
      <c r="H9" s="19">
        <v>21</v>
      </c>
      <c r="I9" s="19">
        <v>6</v>
      </c>
      <c r="J9" s="19">
        <v>16</v>
      </c>
      <c r="K9" s="19">
        <v>4</v>
      </c>
      <c r="L9" s="19">
        <f t="shared" si="0"/>
        <v>82</v>
      </c>
      <c r="M9" s="19">
        <f t="shared" si="1"/>
        <v>46</v>
      </c>
      <c r="N9" s="19">
        <f t="shared" si="2"/>
        <v>8</v>
      </c>
      <c r="O9" s="17" t="str">
        <f t="shared" si="3"/>
        <v>HIGH</v>
      </c>
      <c r="P9" s="17" t="str">
        <f t="shared" si="4"/>
        <v>PASS</v>
      </c>
      <c r="Q9" s="17" t="s">
        <v>389</v>
      </c>
      <c r="R9" s="9" t="s">
        <v>102</v>
      </c>
      <c r="S9" s="9" t="s">
        <v>62</v>
      </c>
      <c r="T9" s="9" t="s">
        <v>63</v>
      </c>
      <c r="U9" s="9" t="s">
        <v>64</v>
      </c>
      <c r="V9" s="9" t="s">
        <v>64</v>
      </c>
      <c r="W9" s="9" t="str">
        <f t="shared" si="5"/>
        <v>YES</v>
      </c>
      <c r="X9" s="9"/>
    </row>
    <row r="10" spans="1:24" ht="43.95" customHeight="1">
      <c r="A10" s="17" t="s">
        <v>103</v>
      </c>
      <c r="B10" s="9" t="s">
        <v>104</v>
      </c>
      <c r="C10" s="18">
        <v>21.107659999999999</v>
      </c>
      <c r="D10" s="18">
        <v>79.119609999999994</v>
      </c>
      <c r="E10" s="9" t="s">
        <v>58</v>
      </c>
      <c r="F10" s="9" t="s">
        <v>105</v>
      </c>
      <c r="G10" s="9" t="s">
        <v>106</v>
      </c>
      <c r="H10" s="19">
        <v>18</v>
      </c>
      <c r="I10" s="19">
        <v>4</v>
      </c>
      <c r="J10" s="19">
        <v>18</v>
      </c>
      <c r="K10" s="19">
        <v>1</v>
      </c>
      <c r="L10" s="19">
        <f t="shared" si="0"/>
        <v>75</v>
      </c>
      <c r="M10" s="19">
        <f t="shared" si="1"/>
        <v>42</v>
      </c>
      <c r="N10" s="19">
        <f t="shared" si="2"/>
        <v>9</v>
      </c>
      <c r="O10" s="17" t="str">
        <f t="shared" si="3"/>
        <v>HIGH</v>
      </c>
      <c r="P10" s="17" t="str">
        <f t="shared" si="4"/>
        <v>PASS</v>
      </c>
      <c r="Q10" s="17" t="s">
        <v>389</v>
      </c>
      <c r="R10" s="9" t="s">
        <v>107</v>
      </c>
      <c r="S10" s="9" t="s">
        <v>62</v>
      </c>
      <c r="T10" s="9" t="s">
        <v>63</v>
      </c>
      <c r="U10" s="9" t="s">
        <v>64</v>
      </c>
      <c r="V10" s="9" t="s">
        <v>65</v>
      </c>
      <c r="W10" s="9" t="str">
        <f t="shared" si="5"/>
        <v>YES</v>
      </c>
      <c r="X10" s="9"/>
    </row>
    <row r="11" spans="1:24" ht="43.95" customHeight="1">
      <c r="A11" s="17" t="s">
        <v>108</v>
      </c>
      <c r="B11" s="9" t="s">
        <v>109</v>
      </c>
      <c r="C11" s="18">
        <v>21.14744</v>
      </c>
      <c r="D11" s="18">
        <v>79.056200000000004</v>
      </c>
      <c r="E11" s="9" t="s">
        <v>58</v>
      </c>
      <c r="F11" s="9" t="s">
        <v>110</v>
      </c>
      <c r="G11" s="9" t="s">
        <v>111</v>
      </c>
      <c r="H11" s="19">
        <v>26</v>
      </c>
      <c r="I11" s="19">
        <v>5</v>
      </c>
      <c r="J11" s="19">
        <v>14</v>
      </c>
      <c r="K11" s="19">
        <v>7</v>
      </c>
      <c r="L11" s="19">
        <f t="shared" si="0"/>
        <v>74</v>
      </c>
      <c r="M11" s="19">
        <f t="shared" si="1"/>
        <v>41</v>
      </c>
      <c r="N11" s="19">
        <f t="shared" si="2"/>
        <v>10</v>
      </c>
      <c r="O11" s="17" t="str">
        <f t="shared" si="3"/>
        <v>HIGH</v>
      </c>
      <c r="P11" s="17" t="str">
        <f t="shared" si="4"/>
        <v>PASS</v>
      </c>
      <c r="Q11" s="17" t="s">
        <v>389</v>
      </c>
      <c r="R11" s="9" t="s">
        <v>112</v>
      </c>
      <c r="S11" s="9" t="s">
        <v>62</v>
      </c>
      <c r="T11" s="9" t="s">
        <v>63</v>
      </c>
      <c r="U11" s="9" t="s">
        <v>64</v>
      </c>
      <c r="V11" s="9" t="s">
        <v>64</v>
      </c>
      <c r="W11" s="9" t="str">
        <f t="shared" si="5"/>
        <v>YES</v>
      </c>
      <c r="X11" s="9"/>
    </row>
    <row r="12" spans="1:24" ht="43.95" customHeight="1">
      <c r="A12" s="17" t="s">
        <v>113</v>
      </c>
      <c r="B12" s="9" t="s">
        <v>114</v>
      </c>
      <c r="C12" s="18">
        <v>21.105219999999999</v>
      </c>
      <c r="D12" s="18">
        <v>79.102469999999997</v>
      </c>
      <c r="E12" s="9" t="s">
        <v>58</v>
      </c>
      <c r="F12" s="9" t="s">
        <v>115</v>
      </c>
      <c r="G12" s="9" t="s">
        <v>116</v>
      </c>
      <c r="H12" s="19">
        <v>18</v>
      </c>
      <c r="I12" s="19">
        <v>2</v>
      </c>
      <c r="J12" s="19">
        <v>19</v>
      </c>
      <c r="K12" s="19">
        <v>3</v>
      </c>
      <c r="L12" s="19">
        <f t="shared" si="0"/>
        <v>70</v>
      </c>
      <c r="M12" s="19">
        <f t="shared" si="1"/>
        <v>39</v>
      </c>
      <c r="N12" s="19">
        <f t="shared" si="2"/>
        <v>11</v>
      </c>
      <c r="O12" s="17" t="str">
        <f t="shared" si="3"/>
        <v>MEDIUM</v>
      </c>
      <c r="P12" s="17" t="str">
        <f t="shared" si="4"/>
        <v>PASS</v>
      </c>
      <c r="Q12" s="17" t="s">
        <v>389</v>
      </c>
      <c r="R12" s="9" t="s">
        <v>117</v>
      </c>
      <c r="S12" s="9" t="s">
        <v>62</v>
      </c>
      <c r="T12" s="9" t="s">
        <v>63</v>
      </c>
      <c r="U12" s="9" t="s">
        <v>64</v>
      </c>
      <c r="V12" s="9" t="s">
        <v>65</v>
      </c>
      <c r="W12" s="9" t="str">
        <f t="shared" si="5"/>
        <v>YES</v>
      </c>
      <c r="X12" s="9"/>
    </row>
    <row r="13" spans="1:24" ht="43.95" customHeight="1">
      <c r="A13" s="17" t="s">
        <v>118</v>
      </c>
      <c r="B13" s="9" t="s">
        <v>119</v>
      </c>
      <c r="C13" s="18">
        <v>21.067499999999999</v>
      </c>
      <c r="D13" s="18">
        <v>79.058329999999998</v>
      </c>
      <c r="E13" s="9" t="s">
        <v>58</v>
      </c>
      <c r="F13" s="9" t="s">
        <v>120</v>
      </c>
      <c r="G13" s="9" t="s">
        <v>121</v>
      </c>
      <c r="H13" s="19">
        <v>15</v>
      </c>
      <c r="I13" s="19">
        <v>3</v>
      </c>
      <c r="J13" s="19">
        <v>14</v>
      </c>
      <c r="K13" s="19">
        <v>5</v>
      </c>
      <c r="L13" s="19">
        <f t="shared" si="0"/>
        <v>62</v>
      </c>
      <c r="M13" s="19">
        <f t="shared" si="1"/>
        <v>34</v>
      </c>
      <c r="N13" s="19">
        <f t="shared" si="2"/>
        <v>12</v>
      </c>
      <c r="O13" s="17" t="str">
        <f t="shared" si="3"/>
        <v>MEDIUM</v>
      </c>
      <c r="P13" s="17" t="str">
        <f t="shared" si="4"/>
        <v>PASS</v>
      </c>
      <c r="Q13" s="17" t="s">
        <v>389</v>
      </c>
      <c r="R13" s="9" t="s">
        <v>122</v>
      </c>
      <c r="S13" s="9" t="s">
        <v>62</v>
      </c>
      <c r="T13" s="9" t="s">
        <v>63</v>
      </c>
      <c r="U13" s="9" t="s">
        <v>64</v>
      </c>
      <c r="V13" s="9" t="s">
        <v>65</v>
      </c>
      <c r="W13" s="9" t="str">
        <f t="shared" si="5"/>
        <v>YES</v>
      </c>
      <c r="X13" s="9"/>
    </row>
    <row r="14" spans="1:24" ht="43.95" customHeight="1">
      <c r="A14" s="17" t="s">
        <v>123</v>
      </c>
      <c r="B14" s="9" t="s">
        <v>124</v>
      </c>
      <c r="C14" s="18">
        <v>21.103649999999998</v>
      </c>
      <c r="D14" s="18">
        <v>78.990679999999998</v>
      </c>
      <c r="E14" s="9" t="s">
        <v>58</v>
      </c>
      <c r="F14" s="9" t="s">
        <v>125</v>
      </c>
      <c r="G14" s="9" t="s">
        <v>126</v>
      </c>
      <c r="H14" s="19">
        <v>16</v>
      </c>
      <c r="I14" s="19">
        <v>6</v>
      </c>
      <c r="J14" s="19">
        <v>10</v>
      </c>
      <c r="K14" s="19">
        <v>0</v>
      </c>
      <c r="L14" s="19">
        <f t="shared" si="0"/>
        <v>60</v>
      </c>
      <c r="M14" s="19">
        <f t="shared" si="1"/>
        <v>33</v>
      </c>
      <c r="N14" s="19">
        <f t="shared" si="2"/>
        <v>13</v>
      </c>
      <c r="O14" s="17" t="str">
        <f t="shared" si="3"/>
        <v>MEDIUM</v>
      </c>
      <c r="P14" s="17" t="str">
        <f t="shared" si="4"/>
        <v>PASS</v>
      </c>
      <c r="Q14" s="17" t="s">
        <v>389</v>
      </c>
      <c r="R14" s="9" t="s">
        <v>127</v>
      </c>
      <c r="S14" s="9" t="s">
        <v>62</v>
      </c>
      <c r="T14" s="9" t="s">
        <v>63</v>
      </c>
      <c r="U14" s="9" t="s">
        <v>64</v>
      </c>
      <c r="V14" s="9" t="s">
        <v>65</v>
      </c>
      <c r="W14" s="9" t="str">
        <f t="shared" si="5"/>
        <v>YES</v>
      </c>
      <c r="X14" s="9"/>
    </row>
    <row r="15" spans="1:24" ht="43.95" customHeight="1">
      <c r="A15" s="17" t="s">
        <v>128</v>
      </c>
      <c r="B15" s="9" t="s">
        <v>129</v>
      </c>
      <c r="C15" s="18">
        <v>21.133610000000001</v>
      </c>
      <c r="D15" s="18">
        <v>79.143330000000006</v>
      </c>
      <c r="E15" s="9" t="s">
        <v>58</v>
      </c>
      <c r="F15" s="9" t="s">
        <v>130</v>
      </c>
      <c r="G15" s="9" t="s">
        <v>131</v>
      </c>
      <c r="H15" s="19">
        <v>17</v>
      </c>
      <c r="I15" s="19">
        <v>5</v>
      </c>
      <c r="J15" s="19">
        <v>11</v>
      </c>
      <c r="K15" s="19">
        <v>2</v>
      </c>
      <c r="L15" s="19">
        <f t="shared" si="0"/>
        <v>60</v>
      </c>
      <c r="M15" s="19">
        <f t="shared" si="1"/>
        <v>33</v>
      </c>
      <c r="N15" s="19">
        <f t="shared" si="2"/>
        <v>13</v>
      </c>
      <c r="O15" s="17" t="str">
        <f t="shared" si="3"/>
        <v>MEDIUM</v>
      </c>
      <c r="P15" s="17" t="str">
        <f t="shared" si="4"/>
        <v>PASS</v>
      </c>
      <c r="Q15" s="17" t="s">
        <v>389</v>
      </c>
      <c r="R15" s="9" t="s">
        <v>132</v>
      </c>
      <c r="S15" s="9" t="s">
        <v>62</v>
      </c>
      <c r="T15" s="9" t="s">
        <v>63</v>
      </c>
      <c r="U15" s="9" t="s">
        <v>64</v>
      </c>
      <c r="V15" s="9" t="s">
        <v>64</v>
      </c>
      <c r="W15" s="9" t="str">
        <f t="shared" si="5"/>
        <v>YES</v>
      </c>
      <c r="X15" s="9"/>
    </row>
    <row r="16" spans="1:24" ht="43.95" customHeight="1">
      <c r="A16" s="17" t="s">
        <v>133</v>
      </c>
      <c r="B16" s="9" t="s">
        <v>134</v>
      </c>
      <c r="C16" s="18">
        <v>21.153169999999999</v>
      </c>
      <c r="D16" s="18">
        <v>79.094030000000004</v>
      </c>
      <c r="E16" s="9" t="s">
        <v>58</v>
      </c>
      <c r="F16" s="9" t="s">
        <v>135</v>
      </c>
      <c r="G16" s="9" t="s">
        <v>136</v>
      </c>
      <c r="H16" s="19">
        <v>16</v>
      </c>
      <c r="I16" s="19">
        <v>4</v>
      </c>
      <c r="J16" s="19">
        <v>11</v>
      </c>
      <c r="K16" s="19">
        <v>3</v>
      </c>
      <c r="L16" s="19">
        <f t="shared" si="0"/>
        <v>56</v>
      </c>
      <c r="M16" s="19">
        <f t="shared" si="1"/>
        <v>31</v>
      </c>
      <c r="N16" s="19">
        <f t="shared" si="2"/>
        <v>15</v>
      </c>
      <c r="O16" s="17" t="str">
        <f t="shared" si="3"/>
        <v>MEDIUM</v>
      </c>
      <c r="P16" s="17" t="str">
        <f t="shared" si="4"/>
        <v>PASS</v>
      </c>
      <c r="Q16" s="17" t="s">
        <v>389</v>
      </c>
      <c r="R16" s="9" t="s">
        <v>137</v>
      </c>
      <c r="S16" s="9" t="s">
        <v>62</v>
      </c>
      <c r="T16" s="9" t="s">
        <v>63</v>
      </c>
      <c r="U16" s="9" t="s">
        <v>64</v>
      </c>
      <c r="V16" s="9" t="s">
        <v>64</v>
      </c>
      <c r="W16" s="9" t="str">
        <f t="shared" si="5"/>
        <v>YES</v>
      </c>
      <c r="X16" s="9"/>
    </row>
    <row r="17" spans="1:24" ht="43.95" customHeight="1">
      <c r="A17" s="17" t="s">
        <v>138</v>
      </c>
      <c r="B17" s="9" t="s">
        <v>139</v>
      </c>
      <c r="C17" s="18">
        <v>21.107710000000001</v>
      </c>
      <c r="D17" s="18">
        <v>79.079939999999993</v>
      </c>
      <c r="E17" s="9" t="s">
        <v>58</v>
      </c>
      <c r="F17" s="9" t="s">
        <v>140</v>
      </c>
      <c r="G17" s="9" t="s">
        <v>141</v>
      </c>
      <c r="H17" s="19">
        <v>20</v>
      </c>
      <c r="I17" s="19">
        <v>2</v>
      </c>
      <c r="J17" s="19">
        <v>14</v>
      </c>
      <c r="K17" s="19">
        <v>3</v>
      </c>
      <c r="L17" s="19">
        <f t="shared" si="0"/>
        <v>55</v>
      </c>
      <c r="M17" s="19">
        <f t="shared" si="1"/>
        <v>31</v>
      </c>
      <c r="N17" s="19">
        <f t="shared" si="2"/>
        <v>16</v>
      </c>
      <c r="O17" s="17" t="str">
        <f t="shared" si="3"/>
        <v>MEDIUM</v>
      </c>
      <c r="P17" s="17" t="str">
        <f t="shared" si="4"/>
        <v>PASS</v>
      </c>
      <c r="Q17" s="17" t="s">
        <v>389</v>
      </c>
      <c r="R17" s="9" t="s">
        <v>142</v>
      </c>
      <c r="S17" s="9" t="s">
        <v>62</v>
      </c>
      <c r="T17" s="9" t="s">
        <v>63</v>
      </c>
      <c r="U17" s="9" t="s">
        <v>64</v>
      </c>
      <c r="V17" s="9" t="s">
        <v>64</v>
      </c>
      <c r="W17" s="9" t="str">
        <f t="shared" si="5"/>
        <v>YES</v>
      </c>
      <c r="X17" s="9"/>
    </row>
    <row r="18" spans="1:24" ht="43.95" customHeight="1">
      <c r="A18" s="17" t="s">
        <v>143</v>
      </c>
      <c r="B18" s="9" t="s">
        <v>144</v>
      </c>
      <c r="C18" s="18">
        <v>21.119330000000001</v>
      </c>
      <c r="D18" s="18">
        <v>79.068399999999997</v>
      </c>
      <c r="E18" s="9" t="s">
        <v>58</v>
      </c>
      <c r="F18" s="9" t="s">
        <v>145</v>
      </c>
      <c r="G18" s="9" t="s">
        <v>146</v>
      </c>
      <c r="H18" s="19">
        <v>17</v>
      </c>
      <c r="I18" s="19">
        <v>2</v>
      </c>
      <c r="J18" s="19">
        <v>14</v>
      </c>
      <c r="K18" s="19">
        <v>2</v>
      </c>
      <c r="L18" s="19">
        <f t="shared" si="0"/>
        <v>54</v>
      </c>
      <c r="M18" s="19">
        <f t="shared" si="1"/>
        <v>30</v>
      </c>
      <c r="N18" s="19">
        <f t="shared" si="2"/>
        <v>17</v>
      </c>
      <c r="O18" s="17" t="str">
        <f t="shared" si="3"/>
        <v>ELEVATED</v>
      </c>
      <c r="P18" s="17" t="str">
        <f t="shared" si="4"/>
        <v>PASS</v>
      </c>
      <c r="Q18" s="17" t="s">
        <v>389</v>
      </c>
      <c r="R18" s="9" t="s">
        <v>147</v>
      </c>
      <c r="S18" s="9" t="s">
        <v>62</v>
      </c>
      <c r="T18" s="9" t="s">
        <v>63</v>
      </c>
      <c r="U18" s="9" t="s">
        <v>64</v>
      </c>
      <c r="V18" s="9" t="s">
        <v>64</v>
      </c>
      <c r="W18" s="9" t="str">
        <f t="shared" si="5"/>
        <v>YES</v>
      </c>
      <c r="X18" s="9"/>
    </row>
    <row r="19" spans="1:24" ht="43.95" customHeight="1">
      <c r="A19" s="17" t="s">
        <v>148</v>
      </c>
      <c r="B19" s="9" t="s">
        <v>390</v>
      </c>
      <c r="C19" s="18">
        <v>21.183610000000002</v>
      </c>
      <c r="D19" s="18">
        <v>79.034170000000003</v>
      </c>
      <c r="E19" s="9" t="s">
        <v>58</v>
      </c>
      <c r="F19" s="9" t="s">
        <v>150</v>
      </c>
      <c r="G19" s="9" t="s">
        <v>151</v>
      </c>
      <c r="H19" s="19">
        <v>15</v>
      </c>
      <c r="I19" s="19">
        <v>3</v>
      </c>
      <c r="J19" s="19">
        <v>12</v>
      </c>
      <c r="K19" s="19">
        <v>3</v>
      </c>
      <c r="L19" s="19">
        <f t="shared" si="0"/>
        <v>54</v>
      </c>
      <c r="M19" s="19">
        <f t="shared" si="1"/>
        <v>30</v>
      </c>
      <c r="N19" s="19">
        <f t="shared" si="2"/>
        <v>17</v>
      </c>
      <c r="O19" s="17" t="str">
        <f t="shared" si="3"/>
        <v>ELEVATED</v>
      </c>
      <c r="P19" s="17" t="str">
        <f t="shared" si="4"/>
        <v>PASS</v>
      </c>
      <c r="Q19" s="17" t="s">
        <v>389</v>
      </c>
      <c r="R19" s="9" t="s">
        <v>152</v>
      </c>
      <c r="S19" s="9" t="s">
        <v>62</v>
      </c>
      <c r="T19" s="9" t="s">
        <v>63</v>
      </c>
      <c r="U19" s="9" t="s">
        <v>64</v>
      </c>
      <c r="V19" s="9" t="s">
        <v>153</v>
      </c>
      <c r="W19" s="9" t="str">
        <f t="shared" si="5"/>
        <v>YES</v>
      </c>
      <c r="X19" s="9"/>
    </row>
    <row r="20" spans="1:24" ht="43.95" customHeight="1">
      <c r="A20" s="17" t="s">
        <v>154</v>
      </c>
      <c r="B20" s="9" t="s">
        <v>155</v>
      </c>
      <c r="C20" s="18">
        <v>21.15287</v>
      </c>
      <c r="D20" s="18">
        <v>79.002269999999996</v>
      </c>
      <c r="E20" s="9" t="s">
        <v>58</v>
      </c>
      <c r="F20" s="9" t="s">
        <v>156</v>
      </c>
      <c r="G20" s="9" t="s">
        <v>157</v>
      </c>
      <c r="H20" s="19">
        <v>12</v>
      </c>
      <c r="I20" s="19">
        <v>3</v>
      </c>
      <c r="J20" s="19">
        <v>12</v>
      </c>
      <c r="K20" s="19">
        <v>1</v>
      </c>
      <c r="L20" s="19">
        <f t="shared" si="0"/>
        <v>52</v>
      </c>
      <c r="M20" s="19">
        <f t="shared" si="1"/>
        <v>29</v>
      </c>
      <c r="N20" s="19">
        <f t="shared" si="2"/>
        <v>19</v>
      </c>
      <c r="O20" s="17" t="str">
        <f t="shared" si="3"/>
        <v>ELEVATED</v>
      </c>
      <c r="P20" s="17" t="str">
        <f t="shared" si="4"/>
        <v>PASS</v>
      </c>
      <c r="Q20" s="17" t="s">
        <v>389</v>
      </c>
      <c r="R20" s="9" t="s">
        <v>158</v>
      </c>
      <c r="S20" s="9" t="s">
        <v>62</v>
      </c>
      <c r="T20" s="9" t="s">
        <v>63</v>
      </c>
      <c r="U20" s="9" t="s">
        <v>64</v>
      </c>
      <c r="V20" s="9" t="s">
        <v>159</v>
      </c>
      <c r="W20" s="9" t="str">
        <f t="shared" si="5"/>
        <v>YES</v>
      </c>
      <c r="X20" s="9"/>
    </row>
    <row r="21" spans="1:24" ht="43.95" customHeight="1">
      <c r="A21" s="20" t="s">
        <v>160</v>
      </c>
      <c r="B21" s="11" t="s">
        <v>161</v>
      </c>
      <c r="C21" s="21">
        <v>21.15352</v>
      </c>
      <c r="D21" s="21">
        <v>79.004189999999994</v>
      </c>
      <c r="E21" s="11" t="s">
        <v>58</v>
      </c>
      <c r="F21" s="11" t="s">
        <v>162</v>
      </c>
      <c r="G21" s="11" t="s">
        <v>163</v>
      </c>
      <c r="H21" s="22">
        <v>12</v>
      </c>
      <c r="I21" s="22">
        <v>4</v>
      </c>
      <c r="J21" s="22">
        <v>10</v>
      </c>
      <c r="K21" s="22">
        <v>1</v>
      </c>
      <c r="L21" s="22">
        <f t="shared" si="0"/>
        <v>51</v>
      </c>
      <c r="M21" s="22">
        <f t="shared" si="1"/>
        <v>28</v>
      </c>
      <c r="N21" s="22">
        <f t="shared" si="2"/>
        <v>20</v>
      </c>
      <c r="O21" s="20" t="str">
        <f t="shared" si="3"/>
        <v>ELEVATED</v>
      </c>
      <c r="P21" s="20" t="str">
        <f t="shared" si="4"/>
        <v>PASS</v>
      </c>
      <c r="Q21" s="20" t="s">
        <v>389</v>
      </c>
      <c r="R21" s="52" t="s">
        <v>164</v>
      </c>
      <c r="S21" s="11" t="s">
        <v>62</v>
      </c>
      <c r="T21" s="11" t="s">
        <v>63</v>
      </c>
      <c r="U21" s="11" t="s">
        <v>64</v>
      </c>
      <c r="V21" s="11" t="s">
        <v>64</v>
      </c>
      <c r="W21" s="11" t="str">
        <f t="shared" si="5"/>
        <v>YES</v>
      </c>
      <c r="X21" s="11"/>
    </row>
  </sheetData>
  <conditionalFormatting sqref="M2:M21">
    <cfRule type="colorScale" priority="1">
      <colorScale>
        <cfvo type="min"/>
        <cfvo type="percentile" val="50"/>
        <cfvo type="max"/>
        <color rgb="FFFEF3C7"/>
        <color rgb="FFFB923C"/>
        <color rgb="FFB91C1C"/>
      </colorScale>
    </cfRule>
  </conditionalFormatting>
  <conditionalFormatting sqref="O2:O21">
    <cfRule type="containsText" dxfId="7" priority="2" operator="containsText" text="CRITICAL"/>
    <cfRule type="containsText" dxfId="6" priority="3" operator="containsText" text="HIGH"/>
    <cfRule type="containsText" dxfId="5" priority="4" operator="containsText" text="MEDIUM"/>
    <cfRule type="containsText" dxfId="4" priority="5" operator="containsText" text="ELEVATED"/>
  </conditionalFormatting>
  <conditionalFormatting sqref="Q2:Q21">
    <cfRule type="containsText" dxfId="3" priority="6" operator="containsText" text="Verified"/>
  </conditionalFormatting>
  <conditionalFormatting sqref="W2:W21">
    <cfRule type="containsText" dxfId="2" priority="7" operator="containsText" text="REVIEW"/>
  </conditionalFormatting>
  <dataValidations count="1">
    <dataValidation type="list" sqref="Q2:Q21" xr:uid="{00000000-0002-0000-0200-000000000000}">
      <formula1>"Pending,Verified,Correction needed"</formula1>
    </dataValidation>
  </dataValidations>
  <hyperlinks>
    <hyperlink ref="R2" r:id="rId1" location="map=18/21.11083/79.07011" xr:uid="{BF298F59-C1EB-49AA-B69C-1ADC5643DA90}"/>
    <hyperlink ref="R21" r:id="rId2" location="map=18/21.15352/79.00419" xr:uid="{8D397896-10B0-4216-A469-218166869A84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workbookViewId="0"/>
  </sheetViews>
  <sheetFormatPr defaultRowHeight="13.8"/>
  <cols>
    <col min="1" max="1" width="12" customWidth="1"/>
    <col min="2" max="2" width="31" customWidth="1"/>
    <col min="3" max="4" width="70" customWidth="1"/>
    <col min="5" max="5" width="52" customWidth="1"/>
    <col min="6" max="7" width="58" customWidth="1"/>
    <col min="8" max="8" width="16" customWidth="1"/>
    <col min="9" max="9" width="35" customWidth="1"/>
  </cols>
  <sheetData>
    <row r="1" spans="1:9" ht="34.049999999999997" customHeight="1">
      <c r="A1" s="4" t="s">
        <v>33</v>
      </c>
      <c r="B1" s="23" t="s">
        <v>34</v>
      </c>
      <c r="C1" s="23" t="s">
        <v>165</v>
      </c>
      <c r="D1" s="23" t="s">
        <v>166</v>
      </c>
      <c r="E1" s="23" t="s">
        <v>167</v>
      </c>
      <c r="F1" s="23" t="s">
        <v>168</v>
      </c>
      <c r="G1" s="23" t="s">
        <v>169</v>
      </c>
      <c r="H1" s="23" t="s">
        <v>170</v>
      </c>
      <c r="I1" s="5" t="s">
        <v>171</v>
      </c>
    </row>
    <row r="2" spans="1:9" ht="73.95" customHeight="1">
      <c r="A2" s="7" t="s">
        <v>56</v>
      </c>
      <c r="B2" s="7" t="s">
        <v>57</v>
      </c>
      <c r="C2" s="7" t="s">
        <v>172</v>
      </c>
      <c r="D2" s="7" t="s">
        <v>173</v>
      </c>
      <c r="E2" s="7" t="s">
        <v>174</v>
      </c>
      <c r="F2" s="7" t="s">
        <v>175</v>
      </c>
      <c r="G2" s="7" t="s">
        <v>176</v>
      </c>
      <c r="H2" s="7" t="s">
        <v>177</v>
      </c>
      <c r="I2" s="7" t="s">
        <v>178</v>
      </c>
    </row>
    <row r="3" spans="1:9" ht="73.95" customHeight="1">
      <c r="A3" s="9" t="s">
        <v>66</v>
      </c>
      <c r="B3" s="9" t="s">
        <v>67</v>
      </c>
      <c r="C3" s="9" t="s">
        <v>179</v>
      </c>
      <c r="D3" s="9" t="s">
        <v>180</v>
      </c>
      <c r="E3" s="9" t="s">
        <v>181</v>
      </c>
      <c r="F3" s="9" t="s">
        <v>175</v>
      </c>
      <c r="G3" s="9" t="s">
        <v>176</v>
      </c>
      <c r="H3" s="9" t="s">
        <v>182</v>
      </c>
      <c r="I3" s="9" t="s">
        <v>178</v>
      </c>
    </row>
    <row r="4" spans="1:9" ht="73.95" customHeight="1">
      <c r="A4" s="9" t="s">
        <v>71</v>
      </c>
      <c r="B4" s="9" t="s">
        <v>72</v>
      </c>
      <c r="C4" s="9" t="s">
        <v>183</v>
      </c>
      <c r="D4" s="9" t="s">
        <v>184</v>
      </c>
      <c r="E4" s="9" t="s">
        <v>181</v>
      </c>
      <c r="F4" s="9" t="s">
        <v>175</v>
      </c>
      <c r="G4" s="9" t="s">
        <v>185</v>
      </c>
      <c r="H4" s="9" t="s">
        <v>182</v>
      </c>
      <c r="I4" s="9" t="s">
        <v>178</v>
      </c>
    </row>
    <row r="5" spans="1:9" ht="73.95" customHeight="1">
      <c r="A5" s="9" t="s">
        <v>77</v>
      </c>
      <c r="B5" s="9" t="s">
        <v>78</v>
      </c>
      <c r="C5" s="9" t="s">
        <v>186</v>
      </c>
      <c r="D5" s="9" t="s">
        <v>187</v>
      </c>
      <c r="E5" s="9" t="s">
        <v>174</v>
      </c>
      <c r="F5" s="9" t="s">
        <v>175</v>
      </c>
      <c r="G5" s="9" t="s">
        <v>175</v>
      </c>
      <c r="H5" s="9" t="s">
        <v>177</v>
      </c>
      <c r="I5" s="9" t="s">
        <v>178</v>
      </c>
    </row>
    <row r="6" spans="1:9" ht="73.95" customHeight="1">
      <c r="A6" s="9" t="s">
        <v>82</v>
      </c>
      <c r="B6" s="9" t="s">
        <v>83</v>
      </c>
      <c r="C6" s="9" t="s">
        <v>188</v>
      </c>
      <c r="D6" s="9" t="s">
        <v>189</v>
      </c>
      <c r="E6" s="9" t="s">
        <v>181</v>
      </c>
      <c r="F6" s="9" t="s">
        <v>175</v>
      </c>
      <c r="G6" s="9" t="s">
        <v>190</v>
      </c>
      <c r="H6" s="9" t="s">
        <v>182</v>
      </c>
      <c r="I6" s="9" t="s">
        <v>178</v>
      </c>
    </row>
    <row r="7" spans="1:9" ht="73.95" customHeight="1">
      <c r="A7" s="9" t="s">
        <v>88</v>
      </c>
      <c r="B7" s="9" t="s">
        <v>89</v>
      </c>
      <c r="C7" s="9" t="s">
        <v>191</v>
      </c>
      <c r="D7" s="9" t="s">
        <v>192</v>
      </c>
      <c r="E7" s="9" t="s">
        <v>181</v>
      </c>
      <c r="F7" s="9" t="s">
        <v>175</v>
      </c>
      <c r="G7" s="9" t="s">
        <v>176</v>
      </c>
      <c r="H7" s="9" t="s">
        <v>182</v>
      </c>
      <c r="I7" s="9" t="s">
        <v>178</v>
      </c>
    </row>
    <row r="8" spans="1:9" ht="73.95" customHeight="1">
      <c r="A8" s="9" t="s">
        <v>93</v>
      </c>
      <c r="B8" s="9" t="s">
        <v>94</v>
      </c>
      <c r="C8" s="9" t="s">
        <v>193</v>
      </c>
      <c r="D8" s="9" t="s">
        <v>194</v>
      </c>
      <c r="E8" s="9" t="s">
        <v>174</v>
      </c>
      <c r="F8" s="9" t="s">
        <v>175</v>
      </c>
      <c r="G8" s="9" t="s">
        <v>175</v>
      </c>
      <c r="H8" s="9" t="s">
        <v>177</v>
      </c>
      <c r="I8" s="9" t="s">
        <v>178</v>
      </c>
    </row>
    <row r="9" spans="1:9" ht="73.95" customHeight="1">
      <c r="A9" s="9" t="s">
        <v>98</v>
      </c>
      <c r="B9" s="9" t="s">
        <v>99</v>
      </c>
      <c r="C9" s="9" t="s">
        <v>195</v>
      </c>
      <c r="D9" s="9" t="s">
        <v>194</v>
      </c>
      <c r="E9" s="9" t="s">
        <v>174</v>
      </c>
      <c r="F9" s="9" t="s">
        <v>175</v>
      </c>
      <c r="G9" s="9" t="s">
        <v>175</v>
      </c>
      <c r="H9" s="9" t="s">
        <v>177</v>
      </c>
      <c r="I9" s="9" t="s">
        <v>178</v>
      </c>
    </row>
    <row r="10" spans="1:9" ht="73.95" customHeight="1">
      <c r="A10" s="9" t="s">
        <v>103</v>
      </c>
      <c r="B10" s="9" t="s">
        <v>104</v>
      </c>
      <c r="C10" s="9" t="s">
        <v>196</v>
      </c>
      <c r="D10" s="9" t="s">
        <v>197</v>
      </c>
      <c r="E10" s="9" t="s">
        <v>181</v>
      </c>
      <c r="F10" s="9" t="s">
        <v>175</v>
      </c>
      <c r="G10" s="9" t="s">
        <v>176</v>
      </c>
      <c r="H10" s="9" t="s">
        <v>182</v>
      </c>
      <c r="I10" s="9" t="s">
        <v>178</v>
      </c>
    </row>
    <row r="11" spans="1:9" ht="73.95" customHeight="1">
      <c r="A11" s="9" t="s">
        <v>108</v>
      </c>
      <c r="B11" s="9" t="s">
        <v>109</v>
      </c>
      <c r="C11" s="9" t="s">
        <v>198</v>
      </c>
      <c r="D11" s="9" t="s">
        <v>199</v>
      </c>
      <c r="E11" s="9" t="s">
        <v>174</v>
      </c>
      <c r="F11" s="9" t="s">
        <v>175</v>
      </c>
      <c r="G11" s="9" t="s">
        <v>175</v>
      </c>
      <c r="H11" s="9" t="s">
        <v>177</v>
      </c>
      <c r="I11" s="9" t="s">
        <v>178</v>
      </c>
    </row>
    <row r="12" spans="1:9" ht="73.95" customHeight="1">
      <c r="A12" s="9" t="s">
        <v>113</v>
      </c>
      <c r="B12" s="9" t="s">
        <v>114</v>
      </c>
      <c r="C12" s="9" t="s">
        <v>200</v>
      </c>
      <c r="D12" s="9" t="s">
        <v>201</v>
      </c>
      <c r="E12" s="9" t="s">
        <v>174</v>
      </c>
      <c r="F12" s="9" t="s">
        <v>175</v>
      </c>
      <c r="G12" s="9" t="s">
        <v>176</v>
      </c>
      <c r="H12" s="9" t="s">
        <v>177</v>
      </c>
      <c r="I12" s="9" t="s">
        <v>178</v>
      </c>
    </row>
    <row r="13" spans="1:9" ht="73.95" customHeight="1">
      <c r="A13" s="9" t="s">
        <v>118</v>
      </c>
      <c r="B13" s="9" t="s">
        <v>119</v>
      </c>
      <c r="C13" s="9" t="s">
        <v>202</v>
      </c>
      <c r="D13" s="9" t="s">
        <v>203</v>
      </c>
      <c r="E13" s="9" t="s">
        <v>181</v>
      </c>
      <c r="F13" s="9" t="s">
        <v>175</v>
      </c>
      <c r="G13" s="9" t="s">
        <v>176</v>
      </c>
      <c r="H13" s="9" t="s">
        <v>182</v>
      </c>
      <c r="I13" s="9" t="s">
        <v>178</v>
      </c>
    </row>
    <row r="14" spans="1:9" ht="73.95" customHeight="1">
      <c r="A14" s="9" t="s">
        <v>123</v>
      </c>
      <c r="B14" s="9" t="s">
        <v>124</v>
      </c>
      <c r="C14" s="9" t="s">
        <v>204</v>
      </c>
      <c r="D14" s="9" t="s">
        <v>205</v>
      </c>
      <c r="E14" s="9" t="s">
        <v>181</v>
      </c>
      <c r="F14" s="9" t="s">
        <v>175</v>
      </c>
      <c r="G14" s="9" t="s">
        <v>176</v>
      </c>
      <c r="H14" s="9" t="s">
        <v>182</v>
      </c>
      <c r="I14" s="9" t="s">
        <v>178</v>
      </c>
    </row>
    <row r="15" spans="1:9" ht="73.95" customHeight="1">
      <c r="A15" s="9" t="s">
        <v>128</v>
      </c>
      <c r="B15" s="9" t="s">
        <v>129</v>
      </c>
      <c r="C15" s="9" t="s">
        <v>206</v>
      </c>
      <c r="D15" s="9" t="s">
        <v>207</v>
      </c>
      <c r="E15" s="9" t="s">
        <v>174</v>
      </c>
      <c r="F15" s="9" t="s">
        <v>175</v>
      </c>
      <c r="G15" s="9" t="s">
        <v>175</v>
      </c>
      <c r="H15" s="9" t="s">
        <v>177</v>
      </c>
      <c r="I15" s="9" t="s">
        <v>178</v>
      </c>
    </row>
    <row r="16" spans="1:9" ht="73.95" customHeight="1">
      <c r="A16" s="9" t="s">
        <v>133</v>
      </c>
      <c r="B16" s="9" t="s">
        <v>134</v>
      </c>
      <c r="C16" s="9" t="s">
        <v>208</v>
      </c>
      <c r="D16" s="9" t="s">
        <v>209</v>
      </c>
      <c r="E16" s="9" t="s">
        <v>174</v>
      </c>
      <c r="F16" s="9" t="s">
        <v>175</v>
      </c>
      <c r="G16" s="9" t="s">
        <v>175</v>
      </c>
      <c r="H16" s="9" t="s">
        <v>177</v>
      </c>
      <c r="I16" s="9" t="s">
        <v>178</v>
      </c>
    </row>
    <row r="17" spans="1:9" ht="73.95" customHeight="1">
      <c r="A17" s="9" t="s">
        <v>138</v>
      </c>
      <c r="B17" s="9" t="s">
        <v>139</v>
      </c>
      <c r="C17" s="9" t="s">
        <v>210</v>
      </c>
      <c r="D17" s="9" t="s">
        <v>207</v>
      </c>
      <c r="E17" s="9" t="s">
        <v>174</v>
      </c>
      <c r="F17" s="9" t="s">
        <v>175</v>
      </c>
      <c r="G17" s="9" t="s">
        <v>175</v>
      </c>
      <c r="H17" s="9" t="s">
        <v>177</v>
      </c>
      <c r="I17" s="9" t="s">
        <v>178</v>
      </c>
    </row>
    <row r="18" spans="1:9" ht="73.95" customHeight="1">
      <c r="A18" s="9" t="s">
        <v>143</v>
      </c>
      <c r="B18" s="9" t="s">
        <v>144</v>
      </c>
      <c r="C18" s="9" t="s">
        <v>211</v>
      </c>
      <c r="D18" s="9" t="s">
        <v>207</v>
      </c>
      <c r="E18" s="9" t="s">
        <v>174</v>
      </c>
      <c r="F18" s="9" t="s">
        <v>175</v>
      </c>
      <c r="G18" s="9" t="s">
        <v>175</v>
      </c>
      <c r="H18" s="9" t="s">
        <v>177</v>
      </c>
      <c r="I18" s="9" t="s">
        <v>178</v>
      </c>
    </row>
    <row r="19" spans="1:9" ht="73.95" customHeight="1">
      <c r="A19" s="9" t="s">
        <v>148</v>
      </c>
      <c r="B19" s="9" t="s">
        <v>149</v>
      </c>
      <c r="C19" s="9" t="s">
        <v>212</v>
      </c>
      <c r="D19" s="9" t="s">
        <v>213</v>
      </c>
      <c r="E19" s="9" t="s">
        <v>181</v>
      </c>
      <c r="F19" s="9" t="s">
        <v>175</v>
      </c>
      <c r="G19" s="9" t="s">
        <v>214</v>
      </c>
      <c r="H19" s="9" t="s">
        <v>182</v>
      </c>
      <c r="I19" s="9" t="s">
        <v>178</v>
      </c>
    </row>
    <row r="20" spans="1:9" ht="73.95" customHeight="1">
      <c r="A20" s="9" t="s">
        <v>154</v>
      </c>
      <c r="B20" s="9" t="s">
        <v>155</v>
      </c>
      <c r="C20" s="9" t="s">
        <v>215</v>
      </c>
      <c r="D20" s="9" t="s">
        <v>216</v>
      </c>
      <c r="E20" s="9" t="s">
        <v>181</v>
      </c>
      <c r="F20" s="9" t="s">
        <v>175</v>
      </c>
      <c r="G20" s="9" t="s">
        <v>217</v>
      </c>
      <c r="H20" s="9" t="s">
        <v>182</v>
      </c>
      <c r="I20" s="9" t="s">
        <v>178</v>
      </c>
    </row>
    <row r="21" spans="1:9" ht="73.95" customHeight="1">
      <c r="A21" s="11" t="s">
        <v>160</v>
      </c>
      <c r="B21" s="11" t="s">
        <v>161</v>
      </c>
      <c r="C21" s="11" t="s">
        <v>218</v>
      </c>
      <c r="D21" s="11" t="s">
        <v>207</v>
      </c>
      <c r="E21" s="11" t="s">
        <v>174</v>
      </c>
      <c r="F21" s="11" t="s">
        <v>175</v>
      </c>
      <c r="G21" s="11" t="s">
        <v>175</v>
      </c>
      <c r="H21" s="11" t="s">
        <v>177</v>
      </c>
      <c r="I21" s="11" t="s">
        <v>178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showGridLines="0" topLeftCell="F1" workbookViewId="0"/>
  </sheetViews>
  <sheetFormatPr defaultRowHeight="13.8"/>
  <cols>
    <col min="1" max="1" width="12" customWidth="1"/>
    <col min="2" max="2" width="31" customWidth="1"/>
    <col min="3" max="3" width="15" customWidth="1"/>
    <col min="4" max="4" width="15.5" customWidth="1"/>
    <col min="5" max="6" width="13" customWidth="1"/>
    <col min="7" max="8" width="11" customWidth="1"/>
    <col min="9" max="9" width="17" customWidth="1"/>
    <col min="10" max="10" width="14" customWidth="1"/>
    <col min="11" max="11" width="12" customWidth="1"/>
    <col min="12" max="12" width="13" customWidth="1"/>
    <col min="13" max="13" width="19" customWidth="1"/>
    <col min="14" max="14" width="24" customWidth="1"/>
    <col min="15" max="15" width="34" customWidth="1"/>
  </cols>
  <sheetData>
    <row r="1" spans="1:15" ht="34.049999999999997" customHeight="1">
      <c r="A1" s="4" t="s">
        <v>33</v>
      </c>
      <c r="B1" s="23" t="s">
        <v>34</v>
      </c>
      <c r="C1" s="23" t="s">
        <v>219</v>
      </c>
      <c r="D1" s="23" t="s">
        <v>220</v>
      </c>
      <c r="E1" s="23" t="s">
        <v>221</v>
      </c>
      <c r="F1" s="23" t="s">
        <v>222</v>
      </c>
      <c r="G1" s="23" t="s">
        <v>223</v>
      </c>
      <c r="H1" s="23" t="s">
        <v>224</v>
      </c>
      <c r="I1" s="23" t="s">
        <v>225</v>
      </c>
      <c r="J1" s="23" t="s">
        <v>226</v>
      </c>
      <c r="K1" s="23" t="s">
        <v>227</v>
      </c>
      <c r="L1" s="23" t="s">
        <v>228</v>
      </c>
      <c r="M1" s="23" t="s">
        <v>229</v>
      </c>
      <c r="N1" s="23" t="s">
        <v>230</v>
      </c>
      <c r="O1" s="5" t="s">
        <v>231</v>
      </c>
    </row>
    <row r="2" spans="1:15" ht="34.049999999999997" customHeight="1">
      <c r="A2" s="7" t="str">
        <f>Junctions_20!A2</f>
        <v>J001</v>
      </c>
      <c r="B2" s="7" t="str">
        <f>Junctions_20!B2</f>
        <v>Chhatrapati Square</v>
      </c>
      <c r="C2" s="33">
        <f>Junctions_20!M2/100</f>
        <v>1</v>
      </c>
      <c r="D2" s="33"/>
      <c r="E2" s="33"/>
      <c r="F2" s="33"/>
      <c r="G2" s="33"/>
      <c r="H2" s="33"/>
      <c r="I2" s="33"/>
      <c r="J2" s="33"/>
      <c r="K2" s="34">
        <f>IF(COUNT(C2:I2)=0,"",ROUND(100*(IF(ISNUMBER(C2),C2*Scoring_Config!$B$5,0)+IF(ISNUMBER(D2),D2*Scoring_Config!$B$6,0)+IF(ISNUMBER(E2),E2*Scoring_Config!$B$7,0)+IF(ISNUMBER(F2),F2*Scoring_Config!$B$8,0)+IF(ISNUMBER(G2),G2*Scoring_Config!$B$9,0)+IF(ISNUMBER(H2),H2*Scoring_Config!$B$10,0)+IF(ISNUMBER(I2),I2*Scoring_Config!$B$11,0))/(IF(ISNUMBER(C2),Scoring_Config!$B$5,0)+IF(ISNUMBER(D2),Scoring_Config!$B$6,0)+IF(ISNUMBER(E2),Scoring_Config!$B$7,0)+IF(ISNUMBER(F2),Scoring_Config!$B$8,0)+IF(ISNUMBER(G2),Scoring_Config!$B$9,0)+IF(ISNUMBER(H2),Scoring_Config!$B$10,0)+IF(ISNUMBER(I2),Scoring_Config!$B$11,0)),0))</f>
        <v>100</v>
      </c>
      <c r="L2" s="34" t="str">
        <f t="shared" ref="L2:L21" si="0">IF(K2="","",IF(K2&gt;=80,"CRITICAL",IF(K2&gt;=60,"HIGH",IF(K2&gt;=35,"MEDIUM","LOW"))))</f>
        <v>CRITICAL</v>
      </c>
      <c r="M2" s="34">
        <f t="shared" ref="M2:M21" si="1">IF(K2="","",ROUND(0.85*K2+15*IF(ISNUMBER(J2),J2,0),0))</f>
        <v>85</v>
      </c>
      <c r="N2" s="7" t="str">
        <f t="shared" ref="N2:N21" si="2">IF(COUNT(D2:J2)=0,"HISTORICAL-ONLY","SCENARIO INPUTS ADDED")</f>
        <v>HISTORICAL-ONLY</v>
      </c>
      <c r="O2" s="7"/>
    </row>
    <row r="3" spans="1:15" ht="34.049999999999997" customHeight="1">
      <c r="A3" s="9" t="str">
        <f>Junctions_20!A3</f>
        <v>J002</v>
      </c>
      <c r="B3" s="9" t="str">
        <f>Junctions_20!B3</f>
        <v>Juni Pardi Naka Chowk</v>
      </c>
      <c r="C3" s="35">
        <f>Junctions_20!M3/100</f>
        <v>0.81</v>
      </c>
      <c r="D3" s="35"/>
      <c r="E3" s="35"/>
      <c r="F3" s="35"/>
      <c r="G3" s="35"/>
      <c r="H3" s="35"/>
      <c r="I3" s="35"/>
      <c r="J3" s="35"/>
      <c r="K3" s="36">
        <f>IF(COUNT(C3:I3)=0,"",ROUND(100*(IF(ISNUMBER(C3),C3*Scoring_Config!$B$5,0)+IF(ISNUMBER(D3),D3*Scoring_Config!$B$6,0)+IF(ISNUMBER(E3),E3*Scoring_Config!$B$7,0)+IF(ISNUMBER(F3),F3*Scoring_Config!$B$8,0)+IF(ISNUMBER(G3),G3*Scoring_Config!$B$9,0)+IF(ISNUMBER(H3),H3*Scoring_Config!$B$10,0)+IF(ISNUMBER(I3),I3*Scoring_Config!$B$11,0))/(IF(ISNUMBER(C3),Scoring_Config!$B$5,0)+IF(ISNUMBER(D3),Scoring_Config!$B$6,0)+IF(ISNUMBER(E3),Scoring_Config!$B$7,0)+IF(ISNUMBER(F3),Scoring_Config!$B$8,0)+IF(ISNUMBER(G3),Scoring_Config!$B$9,0)+IF(ISNUMBER(H3),Scoring_Config!$B$10,0)+IF(ISNUMBER(I3),Scoring_Config!$B$11,0)),0))</f>
        <v>81</v>
      </c>
      <c r="L3" s="36" t="str">
        <f t="shared" si="0"/>
        <v>CRITICAL</v>
      </c>
      <c r="M3" s="36">
        <f t="shared" si="1"/>
        <v>69</v>
      </c>
      <c r="N3" s="9" t="str">
        <f t="shared" si="2"/>
        <v>HISTORICAL-ONLY</v>
      </c>
      <c r="O3" s="9"/>
    </row>
    <row r="4" spans="1:15" ht="34.049999999999997" customHeight="1">
      <c r="A4" s="9" t="str">
        <f>Junctions_20!A4</f>
        <v>J003</v>
      </c>
      <c r="B4" s="9" t="str">
        <f>Junctions_20!B4</f>
        <v>Jhansi Rani Square</v>
      </c>
      <c r="C4" s="35">
        <f>Junctions_20!M4/100</f>
        <v>0.81</v>
      </c>
      <c r="D4" s="35"/>
      <c r="E4" s="35"/>
      <c r="F4" s="35"/>
      <c r="G4" s="35"/>
      <c r="H4" s="35"/>
      <c r="I4" s="35"/>
      <c r="J4" s="35"/>
      <c r="K4" s="36">
        <f>IF(COUNT(C4:I4)=0,"",ROUND(100*(IF(ISNUMBER(C4),C4*Scoring_Config!$B$5,0)+IF(ISNUMBER(D4),D4*Scoring_Config!$B$6,0)+IF(ISNUMBER(E4),E4*Scoring_Config!$B$7,0)+IF(ISNUMBER(F4),F4*Scoring_Config!$B$8,0)+IF(ISNUMBER(G4),G4*Scoring_Config!$B$9,0)+IF(ISNUMBER(H4),H4*Scoring_Config!$B$10,0)+IF(ISNUMBER(I4),I4*Scoring_Config!$B$11,0))/(IF(ISNUMBER(C4),Scoring_Config!$B$5,0)+IF(ISNUMBER(D4),Scoring_Config!$B$6,0)+IF(ISNUMBER(E4),Scoring_Config!$B$7,0)+IF(ISNUMBER(F4),Scoring_Config!$B$8,0)+IF(ISNUMBER(G4),Scoring_Config!$B$9,0)+IF(ISNUMBER(H4),Scoring_Config!$B$10,0)+IF(ISNUMBER(I4),Scoring_Config!$B$11,0)),0))</f>
        <v>81</v>
      </c>
      <c r="L4" s="36" t="str">
        <f t="shared" si="0"/>
        <v>CRITICAL</v>
      </c>
      <c r="M4" s="36">
        <f t="shared" si="1"/>
        <v>69</v>
      </c>
      <c r="N4" s="9" t="str">
        <f t="shared" si="2"/>
        <v>HISTORICAL-ONLY</v>
      </c>
      <c r="O4" s="9"/>
    </row>
    <row r="5" spans="1:15" ht="34.049999999999997" customHeight="1">
      <c r="A5" s="9" t="str">
        <f>Junctions_20!A5</f>
        <v>J004</v>
      </c>
      <c r="B5" s="9" t="str">
        <f>Junctions_20!B5</f>
        <v>Jingabai Takli to Zhanda Chowk</v>
      </c>
      <c r="C5" s="35">
        <f>Junctions_20!M5/100</f>
        <v>0.79</v>
      </c>
      <c r="D5" s="35"/>
      <c r="E5" s="35"/>
      <c r="F5" s="35"/>
      <c r="G5" s="35"/>
      <c r="H5" s="35"/>
      <c r="I5" s="35"/>
      <c r="J5" s="35"/>
      <c r="K5" s="36">
        <f>IF(COUNT(C5:I5)=0,"",ROUND(100*(IF(ISNUMBER(C5),C5*Scoring_Config!$B$5,0)+IF(ISNUMBER(D5),D5*Scoring_Config!$B$6,0)+IF(ISNUMBER(E5),E5*Scoring_Config!$B$7,0)+IF(ISNUMBER(F5),F5*Scoring_Config!$B$8,0)+IF(ISNUMBER(G5),G5*Scoring_Config!$B$9,0)+IF(ISNUMBER(H5),H5*Scoring_Config!$B$10,0)+IF(ISNUMBER(I5),I5*Scoring_Config!$B$11,0))/(IF(ISNUMBER(C5),Scoring_Config!$B$5,0)+IF(ISNUMBER(D5),Scoring_Config!$B$6,0)+IF(ISNUMBER(E5),Scoring_Config!$B$7,0)+IF(ISNUMBER(F5),Scoring_Config!$B$8,0)+IF(ISNUMBER(G5),Scoring_Config!$B$9,0)+IF(ISNUMBER(H5),Scoring_Config!$B$10,0)+IF(ISNUMBER(I5),Scoring_Config!$B$11,0)),0))</f>
        <v>79</v>
      </c>
      <c r="L5" s="36" t="str">
        <f t="shared" si="0"/>
        <v>HIGH</v>
      </c>
      <c r="M5" s="36">
        <f t="shared" si="1"/>
        <v>67</v>
      </c>
      <c r="N5" s="9" t="str">
        <f t="shared" si="2"/>
        <v>HISTORICAL-ONLY</v>
      </c>
      <c r="O5" s="9"/>
    </row>
    <row r="6" spans="1:15" ht="34.049999999999997" customHeight="1">
      <c r="A6" s="9" t="str">
        <f>Junctions_20!A6</f>
        <v>J005</v>
      </c>
      <c r="B6" s="9" t="str">
        <f>Junctions_20!B6</f>
        <v>Chikli Square</v>
      </c>
      <c r="C6" s="35">
        <f>Junctions_20!M6/100</f>
        <v>0.72</v>
      </c>
      <c r="D6" s="35"/>
      <c r="E6" s="35"/>
      <c r="F6" s="35"/>
      <c r="G6" s="35"/>
      <c r="H6" s="35"/>
      <c r="I6" s="35"/>
      <c r="J6" s="35"/>
      <c r="K6" s="36">
        <f>IF(COUNT(C6:I6)=0,"",ROUND(100*(IF(ISNUMBER(C6),C6*Scoring_Config!$B$5,0)+IF(ISNUMBER(D6),D6*Scoring_Config!$B$6,0)+IF(ISNUMBER(E6),E6*Scoring_Config!$B$7,0)+IF(ISNUMBER(F6),F6*Scoring_Config!$B$8,0)+IF(ISNUMBER(G6),G6*Scoring_Config!$B$9,0)+IF(ISNUMBER(H6),H6*Scoring_Config!$B$10,0)+IF(ISNUMBER(I6),I6*Scoring_Config!$B$11,0))/(IF(ISNUMBER(C6),Scoring_Config!$B$5,0)+IF(ISNUMBER(D6),Scoring_Config!$B$6,0)+IF(ISNUMBER(E6),Scoring_Config!$B$7,0)+IF(ISNUMBER(F6),Scoring_Config!$B$8,0)+IF(ISNUMBER(G6),Scoring_Config!$B$9,0)+IF(ISNUMBER(H6),Scoring_Config!$B$10,0)+IF(ISNUMBER(I6),Scoring_Config!$B$11,0)),0))</f>
        <v>72</v>
      </c>
      <c r="L6" s="36" t="str">
        <f t="shared" si="0"/>
        <v>HIGH</v>
      </c>
      <c r="M6" s="36">
        <f t="shared" si="1"/>
        <v>61</v>
      </c>
      <c r="N6" s="9" t="str">
        <f t="shared" si="2"/>
        <v>HISTORICAL-ONLY</v>
      </c>
      <c r="O6" s="9"/>
    </row>
    <row r="7" spans="1:15" ht="34.049999999999997" customHeight="1">
      <c r="A7" s="9" t="str">
        <f>Junctions_20!A7</f>
        <v>J006</v>
      </c>
      <c r="B7" s="9" t="str">
        <f>Junctions_20!B7</f>
        <v>Maruti Seva Square, Kamptee Road</v>
      </c>
      <c r="C7" s="35">
        <f>Junctions_20!M7/100</f>
        <v>0.63</v>
      </c>
      <c r="D7" s="35"/>
      <c r="E7" s="35"/>
      <c r="F7" s="35"/>
      <c r="G7" s="35"/>
      <c r="H7" s="35"/>
      <c r="I7" s="35"/>
      <c r="J7" s="35"/>
      <c r="K7" s="36">
        <f>IF(COUNT(C7:I7)=0,"",ROUND(100*(IF(ISNUMBER(C7),C7*Scoring_Config!$B$5,0)+IF(ISNUMBER(D7),D7*Scoring_Config!$B$6,0)+IF(ISNUMBER(E7),E7*Scoring_Config!$B$7,0)+IF(ISNUMBER(F7),F7*Scoring_Config!$B$8,0)+IF(ISNUMBER(G7),G7*Scoring_Config!$B$9,0)+IF(ISNUMBER(H7),H7*Scoring_Config!$B$10,0)+IF(ISNUMBER(I7),I7*Scoring_Config!$B$11,0))/(IF(ISNUMBER(C7),Scoring_Config!$B$5,0)+IF(ISNUMBER(D7),Scoring_Config!$B$6,0)+IF(ISNUMBER(E7),Scoring_Config!$B$7,0)+IF(ISNUMBER(F7),Scoring_Config!$B$8,0)+IF(ISNUMBER(G7),Scoring_Config!$B$9,0)+IF(ISNUMBER(H7),Scoring_Config!$B$10,0)+IF(ISNUMBER(I7),Scoring_Config!$B$11,0)),0))</f>
        <v>63</v>
      </c>
      <c r="L7" s="36" t="str">
        <f t="shared" si="0"/>
        <v>HIGH</v>
      </c>
      <c r="M7" s="36">
        <f t="shared" si="1"/>
        <v>54</v>
      </c>
      <c r="N7" s="9" t="str">
        <f t="shared" si="2"/>
        <v>HISTORICAL-ONLY</v>
      </c>
      <c r="O7" s="9"/>
    </row>
    <row r="8" spans="1:15" ht="34.049999999999997" customHeight="1">
      <c r="A8" s="9" t="str">
        <f>Junctions_20!A8</f>
        <v>J007</v>
      </c>
      <c r="B8" s="9" t="str">
        <f>Junctions_20!B8</f>
        <v>Shitla Mata Square</v>
      </c>
      <c r="C8" s="35">
        <f>Junctions_20!M8/100</f>
        <v>0.63</v>
      </c>
      <c r="D8" s="35"/>
      <c r="E8" s="35"/>
      <c r="F8" s="35"/>
      <c r="G8" s="35"/>
      <c r="H8" s="35"/>
      <c r="I8" s="35"/>
      <c r="J8" s="35"/>
      <c r="K8" s="36">
        <f>IF(COUNT(C8:I8)=0,"",ROUND(100*(IF(ISNUMBER(C8),C8*Scoring_Config!$B$5,0)+IF(ISNUMBER(D8),D8*Scoring_Config!$B$6,0)+IF(ISNUMBER(E8),E8*Scoring_Config!$B$7,0)+IF(ISNUMBER(F8),F8*Scoring_Config!$B$8,0)+IF(ISNUMBER(G8),G8*Scoring_Config!$B$9,0)+IF(ISNUMBER(H8),H8*Scoring_Config!$B$10,0)+IF(ISNUMBER(I8),I8*Scoring_Config!$B$11,0))/(IF(ISNUMBER(C8),Scoring_Config!$B$5,0)+IF(ISNUMBER(D8),Scoring_Config!$B$6,0)+IF(ISNUMBER(E8),Scoring_Config!$B$7,0)+IF(ISNUMBER(F8),Scoring_Config!$B$8,0)+IF(ISNUMBER(G8),Scoring_Config!$B$9,0)+IF(ISNUMBER(H8),Scoring_Config!$B$10,0)+IF(ISNUMBER(I8),Scoring_Config!$B$11,0)),0))</f>
        <v>63</v>
      </c>
      <c r="L8" s="36" t="str">
        <f t="shared" si="0"/>
        <v>HIGH</v>
      </c>
      <c r="M8" s="36">
        <f t="shared" si="1"/>
        <v>54</v>
      </c>
      <c r="N8" s="9" t="str">
        <f t="shared" si="2"/>
        <v>HISTORICAL-ONLY</v>
      </c>
      <c r="O8" s="9"/>
    </row>
    <row r="9" spans="1:15" ht="34.049999999999997" customHeight="1">
      <c r="A9" s="9" t="str">
        <f>Junctions_20!A9</f>
        <v>J008</v>
      </c>
      <c r="B9" s="9" t="str">
        <f>Junctions_20!B9</f>
        <v>Kharbi Chowk</v>
      </c>
      <c r="C9" s="35">
        <f>Junctions_20!M9/100</f>
        <v>0.46</v>
      </c>
      <c r="D9" s="35"/>
      <c r="E9" s="35"/>
      <c r="F9" s="35"/>
      <c r="G9" s="35"/>
      <c r="H9" s="35"/>
      <c r="I9" s="35"/>
      <c r="J9" s="35"/>
      <c r="K9" s="36">
        <f>IF(COUNT(C9:I9)=0,"",ROUND(100*(IF(ISNUMBER(C9),C9*Scoring_Config!$B$5,0)+IF(ISNUMBER(D9),D9*Scoring_Config!$B$6,0)+IF(ISNUMBER(E9),E9*Scoring_Config!$B$7,0)+IF(ISNUMBER(F9),F9*Scoring_Config!$B$8,0)+IF(ISNUMBER(G9),G9*Scoring_Config!$B$9,0)+IF(ISNUMBER(H9),H9*Scoring_Config!$B$10,0)+IF(ISNUMBER(I9),I9*Scoring_Config!$B$11,0))/(IF(ISNUMBER(C9),Scoring_Config!$B$5,0)+IF(ISNUMBER(D9),Scoring_Config!$B$6,0)+IF(ISNUMBER(E9),Scoring_Config!$B$7,0)+IF(ISNUMBER(F9),Scoring_Config!$B$8,0)+IF(ISNUMBER(G9),Scoring_Config!$B$9,0)+IF(ISNUMBER(H9),Scoring_Config!$B$10,0)+IF(ISNUMBER(I9),Scoring_Config!$B$11,0)),0))</f>
        <v>46</v>
      </c>
      <c r="L9" s="36" t="str">
        <f t="shared" si="0"/>
        <v>MEDIUM</v>
      </c>
      <c r="M9" s="36">
        <f t="shared" si="1"/>
        <v>39</v>
      </c>
      <c r="N9" s="9" t="str">
        <f t="shared" si="2"/>
        <v>HISTORICAL-ONLY</v>
      </c>
      <c r="O9" s="9"/>
    </row>
    <row r="10" spans="1:15" ht="34.049999999999997" customHeight="1">
      <c r="A10" s="9" t="str">
        <f>Junctions_20!A10</f>
        <v>J009</v>
      </c>
      <c r="B10" s="9" t="str">
        <f>Junctions_20!B10</f>
        <v>Mhalgi Nagar Square</v>
      </c>
      <c r="C10" s="35">
        <f>Junctions_20!M10/100</f>
        <v>0.42</v>
      </c>
      <c r="D10" s="35"/>
      <c r="E10" s="35"/>
      <c r="F10" s="35"/>
      <c r="G10" s="35"/>
      <c r="H10" s="35"/>
      <c r="I10" s="35"/>
      <c r="J10" s="35"/>
      <c r="K10" s="36">
        <f>IF(COUNT(C10:I10)=0,"",ROUND(100*(IF(ISNUMBER(C10),C10*Scoring_Config!$B$5,0)+IF(ISNUMBER(D10),D10*Scoring_Config!$B$6,0)+IF(ISNUMBER(E10),E10*Scoring_Config!$B$7,0)+IF(ISNUMBER(F10),F10*Scoring_Config!$B$8,0)+IF(ISNUMBER(G10),G10*Scoring_Config!$B$9,0)+IF(ISNUMBER(H10),H10*Scoring_Config!$B$10,0)+IF(ISNUMBER(I10),I10*Scoring_Config!$B$11,0))/(IF(ISNUMBER(C10),Scoring_Config!$B$5,0)+IF(ISNUMBER(D10),Scoring_Config!$B$6,0)+IF(ISNUMBER(E10),Scoring_Config!$B$7,0)+IF(ISNUMBER(F10),Scoring_Config!$B$8,0)+IF(ISNUMBER(G10),Scoring_Config!$B$9,0)+IF(ISNUMBER(H10),Scoring_Config!$B$10,0)+IF(ISNUMBER(I10),Scoring_Config!$B$11,0)),0))</f>
        <v>42</v>
      </c>
      <c r="L10" s="36" t="str">
        <f t="shared" si="0"/>
        <v>MEDIUM</v>
      </c>
      <c r="M10" s="36">
        <f t="shared" si="1"/>
        <v>36</v>
      </c>
      <c r="N10" s="9" t="str">
        <f t="shared" si="2"/>
        <v>HISTORICAL-ONLY</v>
      </c>
      <c r="O10" s="9"/>
    </row>
    <row r="11" spans="1:15" ht="34.049999999999997" customHeight="1">
      <c r="A11" s="9" t="str">
        <f>Junctions_20!A11</f>
        <v>J010</v>
      </c>
      <c r="B11" s="9" t="str">
        <f>Junctions_20!B11</f>
        <v>Ravi Nagar</v>
      </c>
      <c r="C11" s="35">
        <f>Junctions_20!M11/100</f>
        <v>0.41</v>
      </c>
      <c r="D11" s="35"/>
      <c r="E11" s="35"/>
      <c r="F11" s="35"/>
      <c r="G11" s="35"/>
      <c r="H11" s="35"/>
      <c r="I11" s="35"/>
      <c r="J11" s="35"/>
      <c r="K11" s="36">
        <f>IF(COUNT(C11:I11)=0,"",ROUND(100*(IF(ISNUMBER(C11),C11*Scoring_Config!$B$5,0)+IF(ISNUMBER(D11),D11*Scoring_Config!$B$6,0)+IF(ISNUMBER(E11),E11*Scoring_Config!$B$7,0)+IF(ISNUMBER(F11),F11*Scoring_Config!$B$8,0)+IF(ISNUMBER(G11),G11*Scoring_Config!$B$9,0)+IF(ISNUMBER(H11),H11*Scoring_Config!$B$10,0)+IF(ISNUMBER(I11),I11*Scoring_Config!$B$11,0))/(IF(ISNUMBER(C11),Scoring_Config!$B$5,0)+IF(ISNUMBER(D11),Scoring_Config!$B$6,0)+IF(ISNUMBER(E11),Scoring_Config!$B$7,0)+IF(ISNUMBER(F11),Scoring_Config!$B$8,0)+IF(ISNUMBER(G11),Scoring_Config!$B$9,0)+IF(ISNUMBER(H11),Scoring_Config!$B$10,0)+IF(ISNUMBER(I11),Scoring_Config!$B$11,0)),0))</f>
        <v>41</v>
      </c>
      <c r="L11" s="36" t="str">
        <f t="shared" si="0"/>
        <v>MEDIUM</v>
      </c>
      <c r="M11" s="36">
        <f t="shared" si="1"/>
        <v>35</v>
      </c>
      <c r="N11" s="9" t="str">
        <f t="shared" si="2"/>
        <v>HISTORICAL-ONLY</v>
      </c>
      <c r="O11" s="9"/>
    </row>
    <row r="12" spans="1:15" ht="34.049999999999997" customHeight="1">
      <c r="A12" s="9" t="str">
        <f>Junctions_20!A12</f>
        <v>J011</v>
      </c>
      <c r="B12" s="9" t="str">
        <f>Junctions_20!B12</f>
        <v>Manewada Square</v>
      </c>
      <c r="C12" s="35">
        <f>Junctions_20!M12/100</f>
        <v>0.39</v>
      </c>
      <c r="D12" s="35"/>
      <c r="E12" s="35"/>
      <c r="F12" s="35"/>
      <c r="G12" s="35"/>
      <c r="H12" s="35"/>
      <c r="I12" s="35"/>
      <c r="J12" s="35"/>
      <c r="K12" s="36">
        <f>IF(COUNT(C12:I12)=0,"",ROUND(100*(IF(ISNUMBER(C12),C12*Scoring_Config!$B$5,0)+IF(ISNUMBER(D12),D12*Scoring_Config!$B$6,0)+IF(ISNUMBER(E12),E12*Scoring_Config!$B$7,0)+IF(ISNUMBER(F12),F12*Scoring_Config!$B$8,0)+IF(ISNUMBER(G12),G12*Scoring_Config!$B$9,0)+IF(ISNUMBER(H12),H12*Scoring_Config!$B$10,0)+IF(ISNUMBER(I12),I12*Scoring_Config!$B$11,0))/(IF(ISNUMBER(C12),Scoring_Config!$B$5,0)+IF(ISNUMBER(D12),Scoring_Config!$B$6,0)+IF(ISNUMBER(E12),Scoring_Config!$B$7,0)+IF(ISNUMBER(F12),Scoring_Config!$B$8,0)+IF(ISNUMBER(G12),Scoring_Config!$B$9,0)+IF(ISNUMBER(H12),Scoring_Config!$B$10,0)+IF(ISNUMBER(I12),Scoring_Config!$B$11,0)),0))</f>
        <v>39</v>
      </c>
      <c r="L12" s="36" t="str">
        <f t="shared" si="0"/>
        <v>MEDIUM</v>
      </c>
      <c r="M12" s="36">
        <f t="shared" si="1"/>
        <v>33</v>
      </c>
      <c r="N12" s="9" t="str">
        <f t="shared" si="2"/>
        <v>HISTORICAL-ONLY</v>
      </c>
      <c r="O12" s="9"/>
    </row>
    <row r="13" spans="1:15" ht="34.049999999999997" customHeight="1">
      <c r="A13" s="9" t="str">
        <f>Junctions_20!A13</f>
        <v>J012</v>
      </c>
      <c r="B13" s="9" t="str">
        <f>Junctions_20!B13</f>
        <v>Chinchbhavan Square</v>
      </c>
      <c r="C13" s="35">
        <f>Junctions_20!M13/100</f>
        <v>0.34</v>
      </c>
      <c r="D13" s="35"/>
      <c r="E13" s="35"/>
      <c r="F13" s="35"/>
      <c r="G13" s="35"/>
      <c r="H13" s="35"/>
      <c r="I13" s="35"/>
      <c r="J13" s="35"/>
      <c r="K13" s="36">
        <f>IF(COUNT(C13:I13)=0,"",ROUND(100*(IF(ISNUMBER(C13),C13*Scoring_Config!$B$5,0)+IF(ISNUMBER(D13),D13*Scoring_Config!$B$6,0)+IF(ISNUMBER(E13),E13*Scoring_Config!$B$7,0)+IF(ISNUMBER(F13),F13*Scoring_Config!$B$8,0)+IF(ISNUMBER(G13),G13*Scoring_Config!$B$9,0)+IF(ISNUMBER(H13),H13*Scoring_Config!$B$10,0)+IF(ISNUMBER(I13),I13*Scoring_Config!$B$11,0))/(IF(ISNUMBER(C13),Scoring_Config!$B$5,0)+IF(ISNUMBER(D13),Scoring_Config!$B$6,0)+IF(ISNUMBER(E13),Scoring_Config!$B$7,0)+IF(ISNUMBER(F13),Scoring_Config!$B$8,0)+IF(ISNUMBER(G13),Scoring_Config!$B$9,0)+IF(ISNUMBER(H13),Scoring_Config!$B$10,0)+IF(ISNUMBER(I13),Scoring_Config!$B$11,0)),0))</f>
        <v>34</v>
      </c>
      <c r="L13" s="36" t="str">
        <f t="shared" si="0"/>
        <v>LOW</v>
      </c>
      <c r="M13" s="36">
        <f t="shared" si="1"/>
        <v>29</v>
      </c>
      <c r="N13" s="9" t="str">
        <f t="shared" si="2"/>
        <v>HISTORICAL-ONLY</v>
      </c>
      <c r="O13" s="9"/>
    </row>
    <row r="14" spans="1:15" ht="34.049999999999997" customHeight="1">
      <c r="A14" s="9" t="str">
        <f>Junctions_20!A14</f>
        <v>J013</v>
      </c>
      <c r="B14" s="9" t="str">
        <f>Junctions_20!B14</f>
        <v>Rajiv Nagar Intersection</v>
      </c>
      <c r="C14" s="35">
        <f>Junctions_20!M14/100</f>
        <v>0.33</v>
      </c>
      <c r="D14" s="35"/>
      <c r="E14" s="35"/>
      <c r="F14" s="35"/>
      <c r="G14" s="35"/>
      <c r="H14" s="35"/>
      <c r="I14" s="35"/>
      <c r="J14" s="35"/>
      <c r="K14" s="36">
        <f>IF(COUNT(C14:I14)=0,"",ROUND(100*(IF(ISNUMBER(C14),C14*Scoring_Config!$B$5,0)+IF(ISNUMBER(D14),D14*Scoring_Config!$B$6,0)+IF(ISNUMBER(E14),E14*Scoring_Config!$B$7,0)+IF(ISNUMBER(F14),F14*Scoring_Config!$B$8,0)+IF(ISNUMBER(G14),G14*Scoring_Config!$B$9,0)+IF(ISNUMBER(H14),H14*Scoring_Config!$B$10,0)+IF(ISNUMBER(I14),I14*Scoring_Config!$B$11,0))/(IF(ISNUMBER(C14),Scoring_Config!$B$5,0)+IF(ISNUMBER(D14),Scoring_Config!$B$6,0)+IF(ISNUMBER(E14),Scoring_Config!$B$7,0)+IF(ISNUMBER(F14),Scoring_Config!$B$8,0)+IF(ISNUMBER(G14),Scoring_Config!$B$9,0)+IF(ISNUMBER(H14),Scoring_Config!$B$10,0)+IF(ISNUMBER(I14),Scoring_Config!$B$11,0)),0))</f>
        <v>33</v>
      </c>
      <c r="L14" s="36" t="str">
        <f t="shared" si="0"/>
        <v>LOW</v>
      </c>
      <c r="M14" s="36">
        <f t="shared" si="1"/>
        <v>28</v>
      </c>
      <c r="N14" s="9" t="str">
        <f t="shared" si="2"/>
        <v>HISTORICAL-ONLY</v>
      </c>
      <c r="O14" s="9"/>
    </row>
    <row r="15" spans="1:15" ht="34.049999999999997" customHeight="1">
      <c r="A15" s="9" t="str">
        <f>Junctions_20!A15</f>
        <v>J014</v>
      </c>
      <c r="B15" s="9" t="str">
        <f>Junctions_20!B15</f>
        <v>Wathoda Square</v>
      </c>
      <c r="C15" s="35">
        <f>Junctions_20!M15/100</f>
        <v>0.33</v>
      </c>
      <c r="D15" s="35"/>
      <c r="E15" s="35"/>
      <c r="F15" s="35"/>
      <c r="G15" s="35"/>
      <c r="H15" s="35"/>
      <c r="I15" s="35"/>
      <c r="J15" s="35"/>
      <c r="K15" s="36">
        <f>IF(COUNT(C15:I15)=0,"",ROUND(100*(IF(ISNUMBER(C15),C15*Scoring_Config!$B$5,0)+IF(ISNUMBER(D15),D15*Scoring_Config!$B$6,0)+IF(ISNUMBER(E15),E15*Scoring_Config!$B$7,0)+IF(ISNUMBER(F15),F15*Scoring_Config!$B$8,0)+IF(ISNUMBER(G15),G15*Scoring_Config!$B$9,0)+IF(ISNUMBER(H15),H15*Scoring_Config!$B$10,0)+IF(ISNUMBER(I15),I15*Scoring_Config!$B$11,0))/(IF(ISNUMBER(C15),Scoring_Config!$B$5,0)+IF(ISNUMBER(D15),Scoring_Config!$B$6,0)+IF(ISNUMBER(E15),Scoring_Config!$B$7,0)+IF(ISNUMBER(F15),Scoring_Config!$B$8,0)+IF(ISNUMBER(G15),Scoring_Config!$B$9,0)+IF(ISNUMBER(H15),Scoring_Config!$B$10,0)+IF(ISNUMBER(I15),Scoring_Config!$B$11,0)),0))</f>
        <v>33</v>
      </c>
      <c r="L15" s="36" t="str">
        <f t="shared" si="0"/>
        <v>LOW</v>
      </c>
      <c r="M15" s="36">
        <f t="shared" si="1"/>
        <v>28</v>
      </c>
      <c r="N15" s="9" t="str">
        <f t="shared" si="2"/>
        <v>HISTORICAL-ONLY</v>
      </c>
      <c r="O15" s="9"/>
    </row>
    <row r="16" spans="1:15" ht="34.049999999999997" customHeight="1">
      <c r="A16" s="9" t="str">
        <f>Junctions_20!A16</f>
        <v>J015</v>
      </c>
      <c r="B16" s="9" t="str">
        <f>Junctions_20!B16</f>
        <v>Mayo Square</v>
      </c>
      <c r="C16" s="35">
        <f>Junctions_20!M16/100</f>
        <v>0.31</v>
      </c>
      <c r="D16" s="35"/>
      <c r="E16" s="35"/>
      <c r="F16" s="35"/>
      <c r="G16" s="35"/>
      <c r="H16" s="35"/>
      <c r="I16" s="35"/>
      <c r="J16" s="35"/>
      <c r="K16" s="36">
        <f>IF(COUNT(C16:I16)=0,"",ROUND(100*(IF(ISNUMBER(C16),C16*Scoring_Config!$B$5,0)+IF(ISNUMBER(D16),D16*Scoring_Config!$B$6,0)+IF(ISNUMBER(E16),E16*Scoring_Config!$B$7,0)+IF(ISNUMBER(F16),F16*Scoring_Config!$B$8,0)+IF(ISNUMBER(G16),G16*Scoring_Config!$B$9,0)+IF(ISNUMBER(H16),H16*Scoring_Config!$B$10,0)+IF(ISNUMBER(I16),I16*Scoring_Config!$B$11,0))/(IF(ISNUMBER(C16),Scoring_Config!$B$5,0)+IF(ISNUMBER(D16),Scoring_Config!$B$6,0)+IF(ISNUMBER(E16),Scoring_Config!$B$7,0)+IF(ISNUMBER(F16),Scoring_Config!$B$8,0)+IF(ISNUMBER(G16),Scoring_Config!$B$9,0)+IF(ISNUMBER(H16),Scoring_Config!$B$10,0)+IF(ISNUMBER(I16),Scoring_Config!$B$11,0)),0))</f>
        <v>31</v>
      </c>
      <c r="L16" s="36" t="str">
        <f t="shared" si="0"/>
        <v>LOW</v>
      </c>
      <c r="M16" s="36">
        <f t="shared" si="1"/>
        <v>26</v>
      </c>
      <c r="N16" s="9" t="str">
        <f t="shared" si="2"/>
        <v>HISTORICAL-ONLY</v>
      </c>
      <c r="O16" s="9"/>
    </row>
    <row r="17" spans="1:15" ht="34.049999999999997" customHeight="1">
      <c r="A17" s="9" t="str">
        <f>Junctions_20!A17</f>
        <v>J016</v>
      </c>
      <c r="B17" s="9" t="str">
        <f>Junctions_20!B17</f>
        <v>Shrinagar Chowk</v>
      </c>
      <c r="C17" s="35">
        <f>Junctions_20!M17/100</f>
        <v>0.31</v>
      </c>
      <c r="D17" s="35"/>
      <c r="E17" s="35"/>
      <c r="F17" s="35"/>
      <c r="G17" s="35"/>
      <c r="H17" s="35"/>
      <c r="I17" s="35"/>
      <c r="J17" s="35"/>
      <c r="K17" s="36">
        <f>IF(COUNT(C17:I17)=0,"",ROUND(100*(IF(ISNUMBER(C17),C17*Scoring_Config!$B$5,0)+IF(ISNUMBER(D17),D17*Scoring_Config!$B$6,0)+IF(ISNUMBER(E17),E17*Scoring_Config!$B$7,0)+IF(ISNUMBER(F17),F17*Scoring_Config!$B$8,0)+IF(ISNUMBER(G17),G17*Scoring_Config!$B$9,0)+IF(ISNUMBER(H17),H17*Scoring_Config!$B$10,0)+IF(ISNUMBER(I17),I17*Scoring_Config!$B$11,0))/(IF(ISNUMBER(C17),Scoring_Config!$B$5,0)+IF(ISNUMBER(D17),Scoring_Config!$B$6,0)+IF(ISNUMBER(E17),Scoring_Config!$B$7,0)+IF(ISNUMBER(F17),Scoring_Config!$B$8,0)+IF(ISNUMBER(G17),Scoring_Config!$B$9,0)+IF(ISNUMBER(H17),Scoring_Config!$B$10,0)+IF(ISNUMBER(I17),Scoring_Config!$B$11,0)),0))</f>
        <v>31</v>
      </c>
      <c r="L17" s="36" t="str">
        <f t="shared" si="0"/>
        <v>LOW</v>
      </c>
      <c r="M17" s="36">
        <f t="shared" si="1"/>
        <v>26</v>
      </c>
      <c r="N17" s="9" t="str">
        <f t="shared" si="2"/>
        <v>HISTORICAL-ONLY</v>
      </c>
      <c r="O17" s="9"/>
    </row>
    <row r="18" spans="1:15" ht="34.049999999999997" customHeight="1">
      <c r="A18" s="9" t="str">
        <f>Junctions_20!A18</f>
        <v>J017</v>
      </c>
      <c r="B18" s="9" t="str">
        <f>Junctions_20!B18</f>
        <v>NEERI Point</v>
      </c>
      <c r="C18" s="35">
        <f>Junctions_20!M18/100</f>
        <v>0.3</v>
      </c>
      <c r="D18" s="35"/>
      <c r="E18" s="35"/>
      <c r="F18" s="35"/>
      <c r="G18" s="35"/>
      <c r="H18" s="35"/>
      <c r="I18" s="35"/>
      <c r="J18" s="35"/>
      <c r="K18" s="36">
        <f>IF(COUNT(C18:I18)=0,"",ROUND(100*(IF(ISNUMBER(C18),C18*Scoring_Config!$B$5,0)+IF(ISNUMBER(D18),D18*Scoring_Config!$B$6,0)+IF(ISNUMBER(E18),E18*Scoring_Config!$B$7,0)+IF(ISNUMBER(F18),F18*Scoring_Config!$B$8,0)+IF(ISNUMBER(G18),G18*Scoring_Config!$B$9,0)+IF(ISNUMBER(H18),H18*Scoring_Config!$B$10,0)+IF(ISNUMBER(I18),I18*Scoring_Config!$B$11,0))/(IF(ISNUMBER(C18),Scoring_Config!$B$5,0)+IF(ISNUMBER(D18),Scoring_Config!$B$6,0)+IF(ISNUMBER(E18),Scoring_Config!$B$7,0)+IF(ISNUMBER(F18),Scoring_Config!$B$8,0)+IF(ISNUMBER(G18),Scoring_Config!$B$9,0)+IF(ISNUMBER(H18),Scoring_Config!$B$10,0)+IF(ISNUMBER(I18),Scoring_Config!$B$11,0)),0))</f>
        <v>30</v>
      </c>
      <c r="L18" s="36" t="str">
        <f t="shared" si="0"/>
        <v>LOW</v>
      </c>
      <c r="M18" s="36">
        <f t="shared" si="1"/>
        <v>26</v>
      </c>
      <c r="N18" s="9" t="str">
        <f t="shared" si="2"/>
        <v>HISTORICAL-ONLY</v>
      </c>
      <c r="O18" s="9"/>
    </row>
    <row r="19" spans="1:15" ht="34.049999999999997" customHeight="1">
      <c r="A19" s="9" t="str">
        <f>Junctions_20!A19</f>
        <v>J018</v>
      </c>
      <c r="B19" s="9" t="str">
        <f>Junctions_20!B19</f>
        <v>Gorewada to New Katol Toll Naka</v>
      </c>
      <c r="C19" s="35">
        <f>Junctions_20!M19/100</f>
        <v>0.3</v>
      </c>
      <c r="D19" s="35"/>
      <c r="E19" s="35"/>
      <c r="F19" s="35"/>
      <c r="G19" s="35"/>
      <c r="H19" s="35"/>
      <c r="I19" s="35"/>
      <c r="J19" s="35"/>
      <c r="K19" s="36">
        <f>IF(COUNT(C19:I19)=0,"",ROUND(100*(IF(ISNUMBER(C19),C19*Scoring_Config!$B$5,0)+IF(ISNUMBER(D19),D19*Scoring_Config!$B$6,0)+IF(ISNUMBER(E19),E19*Scoring_Config!$B$7,0)+IF(ISNUMBER(F19),F19*Scoring_Config!$B$8,0)+IF(ISNUMBER(G19),G19*Scoring_Config!$B$9,0)+IF(ISNUMBER(H19),H19*Scoring_Config!$B$10,0)+IF(ISNUMBER(I19),I19*Scoring_Config!$B$11,0))/(IF(ISNUMBER(C19),Scoring_Config!$B$5,0)+IF(ISNUMBER(D19),Scoring_Config!$B$6,0)+IF(ISNUMBER(E19),Scoring_Config!$B$7,0)+IF(ISNUMBER(F19),Scoring_Config!$B$8,0)+IF(ISNUMBER(G19),Scoring_Config!$B$9,0)+IF(ISNUMBER(H19),Scoring_Config!$B$10,0)+IF(ISNUMBER(I19),Scoring_Config!$B$11,0)),0))</f>
        <v>30</v>
      </c>
      <c r="L19" s="36" t="str">
        <f t="shared" si="0"/>
        <v>LOW</v>
      </c>
      <c r="M19" s="36">
        <f t="shared" si="1"/>
        <v>26</v>
      </c>
      <c r="N19" s="9" t="str">
        <f t="shared" si="2"/>
        <v>HISTORICAL-ONLY</v>
      </c>
      <c r="O19" s="9"/>
    </row>
    <row r="20" spans="1:15" ht="34.049999999999997" customHeight="1">
      <c r="A20" s="9" t="str">
        <f>Junctions_20!A20</f>
        <v>J019</v>
      </c>
      <c r="B20" s="9" t="str">
        <f>Junctions_20!B20</f>
        <v>Wadi T Point (Dhamna)</v>
      </c>
      <c r="C20" s="35">
        <f>Junctions_20!M20/100</f>
        <v>0.28999999999999998</v>
      </c>
      <c r="D20" s="35"/>
      <c r="E20" s="35"/>
      <c r="F20" s="35"/>
      <c r="G20" s="35"/>
      <c r="H20" s="35"/>
      <c r="I20" s="35"/>
      <c r="J20" s="35"/>
      <c r="K20" s="36">
        <f>IF(COUNT(C20:I20)=0,"",ROUND(100*(IF(ISNUMBER(C20),C20*Scoring_Config!$B$5,0)+IF(ISNUMBER(D20),D20*Scoring_Config!$B$6,0)+IF(ISNUMBER(E20),E20*Scoring_Config!$B$7,0)+IF(ISNUMBER(F20),F20*Scoring_Config!$B$8,0)+IF(ISNUMBER(G20),G20*Scoring_Config!$B$9,0)+IF(ISNUMBER(H20),H20*Scoring_Config!$B$10,0)+IF(ISNUMBER(I20),I20*Scoring_Config!$B$11,0))/(IF(ISNUMBER(C20),Scoring_Config!$B$5,0)+IF(ISNUMBER(D20),Scoring_Config!$B$6,0)+IF(ISNUMBER(E20),Scoring_Config!$B$7,0)+IF(ISNUMBER(F20),Scoring_Config!$B$8,0)+IF(ISNUMBER(G20),Scoring_Config!$B$9,0)+IF(ISNUMBER(H20),Scoring_Config!$B$10,0)+IF(ISNUMBER(I20),Scoring_Config!$B$11,0)),0))</f>
        <v>29</v>
      </c>
      <c r="L20" s="36" t="str">
        <f t="shared" si="0"/>
        <v>LOW</v>
      </c>
      <c r="M20" s="36">
        <f t="shared" si="1"/>
        <v>25</v>
      </c>
      <c r="N20" s="9" t="str">
        <f t="shared" si="2"/>
        <v>HISTORICAL-ONLY</v>
      </c>
      <c r="O20" s="9"/>
    </row>
    <row r="21" spans="1:15" ht="34.049999999999997" customHeight="1">
      <c r="A21" s="11" t="str">
        <f>Junctions_20!A21</f>
        <v>J020</v>
      </c>
      <c r="B21" s="11" t="str">
        <f>Junctions_20!B21</f>
        <v>Auto Hub to Toll Naka</v>
      </c>
      <c r="C21" s="37">
        <f>Junctions_20!M21/100</f>
        <v>0.28000000000000003</v>
      </c>
      <c r="D21" s="37"/>
      <c r="E21" s="37"/>
      <c r="F21" s="37"/>
      <c r="G21" s="37"/>
      <c r="H21" s="37"/>
      <c r="I21" s="37"/>
      <c r="J21" s="37"/>
      <c r="K21" s="38">
        <f>IF(COUNT(C21:I21)=0,"",ROUND(100*(IF(ISNUMBER(C21),C21*Scoring_Config!$B$5,0)+IF(ISNUMBER(D21),D21*Scoring_Config!$B$6,0)+IF(ISNUMBER(E21),E21*Scoring_Config!$B$7,0)+IF(ISNUMBER(F21),F21*Scoring_Config!$B$8,0)+IF(ISNUMBER(G21),G21*Scoring_Config!$B$9,0)+IF(ISNUMBER(H21),H21*Scoring_Config!$B$10,0)+IF(ISNUMBER(I21),I21*Scoring_Config!$B$11,0))/(IF(ISNUMBER(C21),Scoring_Config!$B$5,0)+IF(ISNUMBER(D21),Scoring_Config!$B$6,0)+IF(ISNUMBER(E21),Scoring_Config!$B$7,0)+IF(ISNUMBER(F21),Scoring_Config!$B$8,0)+IF(ISNUMBER(G21),Scoring_Config!$B$9,0)+IF(ISNUMBER(H21),Scoring_Config!$B$10,0)+IF(ISNUMBER(I21),Scoring_Config!$B$11,0)),0))</f>
        <v>28</v>
      </c>
      <c r="L21" s="38" t="str">
        <f t="shared" si="0"/>
        <v>LOW</v>
      </c>
      <c r="M21" s="38">
        <f t="shared" si="1"/>
        <v>24</v>
      </c>
      <c r="N21" s="11" t="str">
        <f t="shared" si="2"/>
        <v>HISTORICAL-ONLY</v>
      </c>
      <c r="O21" s="11"/>
    </row>
  </sheetData>
  <conditionalFormatting sqref="K2:K21">
    <cfRule type="colorScale" priority="1">
      <colorScale>
        <cfvo type="min"/>
        <cfvo type="percentile" val="50"/>
        <cfvo type="max"/>
        <color rgb="FFDCFCE7"/>
        <color rgb="FFFEF3C7"/>
        <color rgb="FFFCA5A5"/>
      </colorScale>
    </cfRule>
  </conditionalFormatting>
  <conditionalFormatting sqref="L2:L21">
    <cfRule type="containsText" dxfId="1" priority="2" operator="containsText" text="CRITICAL"/>
    <cfRule type="containsText" dxfId="0" priority="3" operator="containsText" text="HIGH"/>
  </conditionalFormatting>
  <dataValidations count="1">
    <dataValidation type="decimal" sqref="D2:J21" xr:uid="{00000000-0002-0000-0400-000000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topLeftCell="D1" workbookViewId="0">
      <selection activeCell="B22" sqref="B22"/>
    </sheetView>
  </sheetViews>
  <sheetFormatPr defaultRowHeight="13.8"/>
  <cols>
    <col min="1" max="1" width="24" customWidth="1"/>
    <col min="2" max="2" width="43" customWidth="1"/>
    <col min="3" max="3" width="18" customWidth="1"/>
    <col min="4" max="4" width="48" customWidth="1"/>
    <col min="5" max="5" width="46" customWidth="1"/>
    <col min="6" max="6" width="24" customWidth="1"/>
  </cols>
  <sheetData>
    <row r="1" spans="1:6" ht="31.95" customHeight="1">
      <c r="A1" s="39" t="s">
        <v>232</v>
      </c>
      <c r="B1" s="39" t="s">
        <v>232</v>
      </c>
      <c r="C1" s="39" t="s">
        <v>232</v>
      </c>
      <c r="D1" s="39" t="s">
        <v>232</v>
      </c>
      <c r="E1" s="39" t="s">
        <v>232</v>
      </c>
      <c r="F1" s="39" t="s">
        <v>232</v>
      </c>
    </row>
    <row r="2" spans="1:6" ht="31.95" customHeight="1">
      <c r="A2" s="39" t="s">
        <v>232</v>
      </c>
      <c r="B2" s="39" t="s">
        <v>232</v>
      </c>
      <c r="C2" s="39" t="s">
        <v>232</v>
      </c>
      <c r="D2" s="39" t="s">
        <v>232</v>
      </c>
      <c r="E2" s="39" t="s">
        <v>232</v>
      </c>
      <c r="F2" s="39" t="s">
        <v>232</v>
      </c>
    </row>
    <row r="3" spans="1:6" ht="14.4">
      <c r="A3" s="3"/>
      <c r="B3" s="3"/>
      <c r="C3" s="3"/>
      <c r="D3" s="3"/>
      <c r="E3" s="3"/>
      <c r="F3" s="3"/>
    </row>
    <row r="4" spans="1:6" ht="34.049999999999997" customHeight="1">
      <c r="A4" s="4" t="s">
        <v>233</v>
      </c>
      <c r="B4" s="23" t="s">
        <v>234</v>
      </c>
      <c r="C4" s="23" t="s">
        <v>235</v>
      </c>
      <c r="D4" s="23" t="s">
        <v>236</v>
      </c>
      <c r="E4" s="23" t="s">
        <v>237</v>
      </c>
      <c r="F4" s="5" t="s">
        <v>238</v>
      </c>
    </row>
    <row r="5" spans="1:6" ht="14.4">
      <c r="A5" s="14" t="s">
        <v>239</v>
      </c>
      <c r="B5" s="24">
        <v>0.3</v>
      </c>
      <c r="C5" s="14" t="s">
        <v>240</v>
      </c>
      <c r="D5" s="14" t="s">
        <v>241</v>
      </c>
      <c r="E5" s="14" t="s">
        <v>242</v>
      </c>
      <c r="F5" s="14" t="s">
        <v>243</v>
      </c>
    </row>
    <row r="6" spans="1:6" ht="14.4">
      <c r="A6" s="17" t="s">
        <v>220</v>
      </c>
      <c r="B6" s="25">
        <v>0.25</v>
      </c>
      <c r="C6" s="17" t="s">
        <v>240</v>
      </c>
      <c r="D6" s="17" t="s">
        <v>244</v>
      </c>
      <c r="E6" s="17" t="s">
        <v>245</v>
      </c>
      <c r="F6" s="17" t="s">
        <v>246</v>
      </c>
    </row>
    <row r="7" spans="1:6" ht="14.4">
      <c r="A7" s="17" t="s">
        <v>221</v>
      </c>
      <c r="B7" s="25">
        <v>0.15</v>
      </c>
      <c r="C7" s="17" t="s">
        <v>240</v>
      </c>
      <c r="D7" s="17" t="s">
        <v>247</v>
      </c>
      <c r="E7" s="17" t="s">
        <v>248</v>
      </c>
      <c r="F7" s="17" t="s">
        <v>246</v>
      </c>
    </row>
    <row r="8" spans="1:6" ht="14.4">
      <c r="A8" s="17" t="s">
        <v>222</v>
      </c>
      <c r="B8" s="25">
        <v>0.1</v>
      </c>
      <c r="C8" s="17" t="s">
        <v>240</v>
      </c>
      <c r="D8" s="17" t="s">
        <v>249</v>
      </c>
      <c r="E8" s="17" t="s">
        <v>250</v>
      </c>
      <c r="F8" s="17" t="s">
        <v>246</v>
      </c>
    </row>
    <row r="9" spans="1:6" ht="14.4">
      <c r="A9" s="17" t="s">
        <v>223</v>
      </c>
      <c r="B9" s="25">
        <v>0.05</v>
      </c>
      <c r="C9" s="17" t="s">
        <v>240</v>
      </c>
      <c r="D9" s="17" t="s">
        <v>251</v>
      </c>
      <c r="E9" s="17" t="s">
        <v>252</v>
      </c>
      <c r="F9" s="17" t="s">
        <v>246</v>
      </c>
    </row>
    <row r="10" spans="1:6" ht="14.4">
      <c r="A10" s="17" t="s">
        <v>224</v>
      </c>
      <c r="B10" s="25">
        <v>0.05</v>
      </c>
      <c r="C10" s="17" t="s">
        <v>240</v>
      </c>
      <c r="D10" s="17" t="s">
        <v>253</v>
      </c>
      <c r="E10" s="17" t="s">
        <v>254</v>
      </c>
      <c r="F10" s="17" t="s">
        <v>246</v>
      </c>
    </row>
    <row r="11" spans="1:6" ht="14.4">
      <c r="A11" s="17" t="s">
        <v>255</v>
      </c>
      <c r="B11" s="25">
        <v>0.1</v>
      </c>
      <c r="C11" s="17" t="s">
        <v>240</v>
      </c>
      <c r="D11" s="17" t="s">
        <v>256</v>
      </c>
      <c r="E11" s="17" t="s">
        <v>257</v>
      </c>
      <c r="F11" s="17" t="s">
        <v>246</v>
      </c>
    </row>
    <row r="12" spans="1:6" ht="14.4">
      <c r="A12" s="20" t="s">
        <v>258</v>
      </c>
      <c r="B12" s="26">
        <v>0</v>
      </c>
      <c r="C12" s="20" t="s">
        <v>240</v>
      </c>
      <c r="D12" s="20" t="s">
        <v>259</v>
      </c>
      <c r="E12" s="20" t="s">
        <v>260</v>
      </c>
      <c r="F12" s="20" t="s">
        <v>246</v>
      </c>
    </row>
    <row r="13" spans="1:6" ht="14.4">
      <c r="A13" s="3"/>
      <c r="B13" s="3"/>
      <c r="C13" s="3"/>
      <c r="D13" s="3"/>
      <c r="E13" s="3"/>
      <c r="F13" s="3"/>
    </row>
    <row r="14" spans="1:6" ht="34.049999999999997" customHeight="1">
      <c r="A14" s="4" t="s">
        <v>261</v>
      </c>
      <c r="B14" s="23" t="s">
        <v>262</v>
      </c>
      <c r="C14" s="5" t="s">
        <v>236</v>
      </c>
      <c r="D14" s="3"/>
      <c r="E14" s="3"/>
      <c r="F14" s="3"/>
    </row>
    <row r="15" spans="1:6" ht="14.4">
      <c r="A15" s="14" t="s">
        <v>263</v>
      </c>
      <c r="B15" s="14">
        <v>80</v>
      </c>
      <c r="C15" s="14" t="s">
        <v>264</v>
      </c>
      <c r="D15" s="3"/>
      <c r="E15" s="3"/>
      <c r="F15" s="3"/>
    </row>
    <row r="16" spans="1:6" ht="14.4">
      <c r="A16" s="17" t="s">
        <v>265</v>
      </c>
      <c r="B16" s="17">
        <v>60</v>
      </c>
      <c r="C16" s="17" t="s">
        <v>266</v>
      </c>
      <c r="D16" s="3"/>
      <c r="E16" s="3"/>
      <c r="F16" s="3"/>
    </row>
    <row r="17" spans="1:6" ht="14.4">
      <c r="A17" s="17" t="s">
        <v>177</v>
      </c>
      <c r="B17" s="17">
        <v>35</v>
      </c>
      <c r="C17" s="17" t="s">
        <v>267</v>
      </c>
      <c r="D17" s="3"/>
      <c r="E17" s="3"/>
      <c r="F17" s="3"/>
    </row>
    <row r="18" spans="1:6" ht="14.4">
      <c r="A18" s="20" t="s">
        <v>268</v>
      </c>
      <c r="B18" s="20">
        <v>0</v>
      </c>
      <c r="C18" s="20" t="s">
        <v>269</v>
      </c>
      <c r="D18" s="3"/>
      <c r="E18" s="3"/>
      <c r="F18" s="3"/>
    </row>
    <row r="19" spans="1:6" ht="14.4">
      <c r="A19" s="3"/>
      <c r="B19" s="3"/>
      <c r="C19" s="3"/>
      <c r="D19" s="3"/>
      <c r="E19" s="3"/>
      <c r="F19" s="3"/>
    </row>
    <row r="20" spans="1:6" ht="14.4">
      <c r="A20" s="50" t="s">
        <v>270</v>
      </c>
      <c r="B20" s="50" t="s">
        <v>271</v>
      </c>
      <c r="C20" s="50"/>
      <c r="D20" s="50"/>
      <c r="E20" s="50"/>
      <c r="F20" s="50"/>
    </row>
    <row r="21" spans="1:6" ht="61.8" customHeight="1">
      <c r="A21" s="13" t="s">
        <v>272</v>
      </c>
      <c r="B21" s="13" t="s">
        <v>273</v>
      </c>
      <c r="C21" s="13"/>
      <c r="D21" s="13"/>
      <c r="E21" s="13"/>
      <c r="F21" s="13"/>
    </row>
    <row r="22" spans="1:6" ht="53.4" customHeight="1">
      <c r="A22" s="13" t="s">
        <v>274</v>
      </c>
      <c r="B22" s="13" t="s">
        <v>275</v>
      </c>
      <c r="C22" s="13"/>
      <c r="D22" s="13"/>
      <c r="E22" s="13"/>
      <c r="F22" s="13"/>
    </row>
  </sheetData>
  <mergeCells count="2">
    <mergeCell ref="A1:F2"/>
    <mergeCell ref="A20:F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showGridLines="0" workbookViewId="0"/>
  </sheetViews>
  <sheetFormatPr defaultRowHeight="13.8"/>
  <cols>
    <col min="1" max="1" width="11" customWidth="1"/>
    <col min="2" max="2" width="34" customWidth="1"/>
    <col min="3" max="3" width="44" customWidth="1"/>
    <col min="4" max="4" width="18" customWidth="1"/>
    <col min="5" max="5" width="28" customWidth="1"/>
    <col min="6" max="6" width="52" customWidth="1"/>
    <col min="7" max="7" width="65" customWidth="1"/>
    <col min="8" max="8" width="16" customWidth="1"/>
    <col min="9" max="9" width="56" customWidth="1"/>
  </cols>
  <sheetData>
    <row r="1" spans="1:9" ht="34.049999999999997" customHeight="1">
      <c r="A1" s="4" t="s">
        <v>276</v>
      </c>
      <c r="B1" s="23" t="s">
        <v>277</v>
      </c>
      <c r="C1" s="23" t="s">
        <v>278</v>
      </c>
      <c r="D1" s="23" t="s">
        <v>279</v>
      </c>
      <c r="E1" s="23" t="s">
        <v>280</v>
      </c>
      <c r="F1" s="23" t="s">
        <v>281</v>
      </c>
      <c r="G1" s="23" t="s">
        <v>282</v>
      </c>
      <c r="H1" s="23" t="s">
        <v>283</v>
      </c>
      <c r="I1" s="5" t="s">
        <v>284</v>
      </c>
    </row>
    <row r="2" spans="1:9" ht="72" customHeight="1">
      <c r="A2" s="7" t="s">
        <v>64</v>
      </c>
      <c r="B2" s="7" t="s">
        <v>285</v>
      </c>
      <c r="C2" s="7" t="s">
        <v>286</v>
      </c>
      <c r="D2" s="7" t="s">
        <v>287</v>
      </c>
      <c r="E2" s="7" t="s">
        <v>288</v>
      </c>
      <c r="F2" s="7" t="s">
        <v>289</v>
      </c>
      <c r="G2" s="7" t="s">
        <v>175</v>
      </c>
      <c r="H2" s="7" t="s">
        <v>265</v>
      </c>
      <c r="I2" s="7" t="s">
        <v>290</v>
      </c>
    </row>
    <row r="3" spans="1:9" ht="72" customHeight="1">
      <c r="A3" s="9" t="s">
        <v>291</v>
      </c>
      <c r="B3" s="9" t="s">
        <v>292</v>
      </c>
      <c r="C3" s="9" t="s">
        <v>293</v>
      </c>
      <c r="D3" s="9" t="s">
        <v>294</v>
      </c>
      <c r="E3" s="9" t="s">
        <v>295</v>
      </c>
      <c r="F3" s="9" t="s">
        <v>296</v>
      </c>
      <c r="G3" s="9" t="s">
        <v>297</v>
      </c>
      <c r="H3" s="9" t="s">
        <v>265</v>
      </c>
      <c r="I3" s="9" t="s">
        <v>298</v>
      </c>
    </row>
    <row r="4" spans="1:9" ht="72" customHeight="1">
      <c r="A4" s="9" t="s">
        <v>65</v>
      </c>
      <c r="B4" s="9" t="s">
        <v>299</v>
      </c>
      <c r="C4" s="9" t="s">
        <v>300</v>
      </c>
      <c r="D4" s="9" t="s">
        <v>301</v>
      </c>
      <c r="E4" s="9" t="s">
        <v>302</v>
      </c>
      <c r="F4" s="9" t="s">
        <v>303</v>
      </c>
      <c r="G4" s="9" t="s">
        <v>176</v>
      </c>
      <c r="H4" s="9" t="s">
        <v>182</v>
      </c>
      <c r="I4" s="9" t="s">
        <v>304</v>
      </c>
    </row>
    <row r="5" spans="1:9" ht="72" customHeight="1">
      <c r="A5" s="9" t="s">
        <v>305</v>
      </c>
      <c r="B5" s="9" t="s">
        <v>306</v>
      </c>
      <c r="C5" s="9" t="s">
        <v>307</v>
      </c>
      <c r="D5" s="9" t="s">
        <v>308</v>
      </c>
      <c r="E5" s="9" t="s">
        <v>302</v>
      </c>
      <c r="F5" s="9" t="s">
        <v>309</v>
      </c>
      <c r="G5" s="9" t="s">
        <v>310</v>
      </c>
      <c r="H5" s="9" t="s">
        <v>177</v>
      </c>
      <c r="I5" s="9" t="s">
        <v>311</v>
      </c>
    </row>
    <row r="6" spans="1:9" ht="72" customHeight="1">
      <c r="A6" s="9" t="s">
        <v>159</v>
      </c>
      <c r="B6" s="9" t="s">
        <v>312</v>
      </c>
      <c r="C6" s="9" t="s">
        <v>313</v>
      </c>
      <c r="D6" s="9" t="s">
        <v>314</v>
      </c>
      <c r="E6" s="9" t="s">
        <v>302</v>
      </c>
      <c r="F6" s="9" t="s">
        <v>315</v>
      </c>
      <c r="G6" s="9" t="s">
        <v>217</v>
      </c>
      <c r="H6" s="9" t="s">
        <v>182</v>
      </c>
      <c r="I6" s="9" t="s">
        <v>316</v>
      </c>
    </row>
    <row r="7" spans="1:9" ht="72" customHeight="1">
      <c r="A7" s="9" t="s">
        <v>76</v>
      </c>
      <c r="B7" s="9" t="s">
        <v>317</v>
      </c>
      <c r="C7" s="9" t="s">
        <v>318</v>
      </c>
      <c r="D7" s="9" t="s">
        <v>319</v>
      </c>
      <c r="E7" s="9" t="s">
        <v>72</v>
      </c>
      <c r="F7" s="9" t="s">
        <v>320</v>
      </c>
      <c r="G7" s="9" t="s">
        <v>185</v>
      </c>
      <c r="H7" s="9" t="s">
        <v>177</v>
      </c>
      <c r="I7" s="9" t="s">
        <v>321</v>
      </c>
    </row>
    <row r="8" spans="1:9" ht="72" customHeight="1">
      <c r="A8" s="9" t="s">
        <v>87</v>
      </c>
      <c r="B8" s="9" t="s">
        <v>317</v>
      </c>
      <c r="C8" s="9" t="s">
        <v>322</v>
      </c>
      <c r="D8" s="9" t="s">
        <v>323</v>
      </c>
      <c r="E8" s="9" t="s">
        <v>324</v>
      </c>
      <c r="F8" s="9" t="s">
        <v>325</v>
      </c>
      <c r="G8" s="9" t="s">
        <v>190</v>
      </c>
      <c r="H8" s="9" t="s">
        <v>177</v>
      </c>
      <c r="I8" s="9" t="s">
        <v>326</v>
      </c>
    </row>
    <row r="9" spans="1:9" ht="72" customHeight="1">
      <c r="A9" s="11" t="s">
        <v>153</v>
      </c>
      <c r="B9" s="11" t="s">
        <v>317</v>
      </c>
      <c r="C9" s="11" t="s">
        <v>327</v>
      </c>
      <c r="D9" s="11" t="s">
        <v>323</v>
      </c>
      <c r="E9" s="11" t="s">
        <v>328</v>
      </c>
      <c r="F9" s="11" t="s">
        <v>329</v>
      </c>
      <c r="G9" s="11" t="s">
        <v>214</v>
      </c>
      <c r="H9" s="11" t="s">
        <v>177</v>
      </c>
      <c r="I9" s="11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/>
  </sheetViews>
  <sheetFormatPr defaultRowHeight="13.8"/>
  <cols>
    <col min="1" max="1" width="18" customWidth="1"/>
    <col min="2" max="2" width="31" customWidth="1"/>
    <col min="3" max="3" width="22" customWidth="1"/>
    <col min="4" max="4" width="62" customWidth="1"/>
    <col min="5" max="5" width="46" customWidth="1"/>
  </cols>
  <sheetData>
    <row r="1" spans="1:5" ht="34.049999999999997" customHeight="1">
      <c r="A1" s="4" t="s">
        <v>331</v>
      </c>
      <c r="B1" s="23" t="s">
        <v>332</v>
      </c>
      <c r="C1" s="23" t="s">
        <v>333</v>
      </c>
      <c r="D1" s="23" t="s">
        <v>334</v>
      </c>
      <c r="E1" s="5" t="s">
        <v>335</v>
      </c>
    </row>
    <row r="2" spans="1:5" ht="52.05" customHeight="1">
      <c r="A2" s="7" t="s">
        <v>336</v>
      </c>
      <c r="B2" s="7" t="s">
        <v>337</v>
      </c>
      <c r="C2" s="7" t="s">
        <v>338</v>
      </c>
      <c r="D2" s="7" t="s">
        <v>339</v>
      </c>
      <c r="E2" s="7" t="s">
        <v>340</v>
      </c>
    </row>
    <row r="3" spans="1:5" ht="52.05" customHeight="1">
      <c r="A3" s="9" t="s">
        <v>336</v>
      </c>
      <c r="B3" s="9" t="s">
        <v>40</v>
      </c>
      <c r="C3" s="9" t="s">
        <v>341</v>
      </c>
      <c r="D3" s="9" t="s">
        <v>342</v>
      </c>
      <c r="E3" s="9" t="s">
        <v>343</v>
      </c>
    </row>
    <row r="4" spans="1:5" ht="52.05" customHeight="1">
      <c r="A4" s="9" t="s">
        <v>336</v>
      </c>
      <c r="B4" s="9" t="s">
        <v>26</v>
      </c>
      <c r="C4" s="9" t="s">
        <v>341</v>
      </c>
      <c r="D4" s="9" t="s">
        <v>344</v>
      </c>
      <c r="E4" s="9" t="s">
        <v>345</v>
      </c>
    </row>
    <row r="5" spans="1:5" ht="52.05" customHeight="1">
      <c r="A5" s="9" t="s">
        <v>336</v>
      </c>
      <c r="B5" s="9" t="s">
        <v>41</v>
      </c>
      <c r="C5" s="9" t="s">
        <v>341</v>
      </c>
      <c r="D5" s="9" t="s">
        <v>346</v>
      </c>
      <c r="E5" s="9" t="s">
        <v>345</v>
      </c>
    </row>
    <row r="6" spans="1:5" ht="52.05" customHeight="1">
      <c r="A6" s="9" t="s">
        <v>336</v>
      </c>
      <c r="B6" s="9" t="s">
        <v>42</v>
      </c>
      <c r="C6" s="9" t="s">
        <v>341</v>
      </c>
      <c r="D6" s="9" t="s">
        <v>347</v>
      </c>
      <c r="E6" s="9" t="s">
        <v>345</v>
      </c>
    </row>
    <row r="7" spans="1:5" ht="52.05" customHeight="1">
      <c r="A7" s="9" t="s">
        <v>336</v>
      </c>
      <c r="B7" s="9" t="s">
        <v>43</v>
      </c>
      <c r="C7" s="9" t="s">
        <v>348</v>
      </c>
      <c r="D7" s="9" t="s">
        <v>349</v>
      </c>
      <c r="E7" s="9" t="s">
        <v>350</v>
      </c>
    </row>
    <row r="8" spans="1:5" ht="52.05" customHeight="1">
      <c r="A8" s="9" t="s">
        <v>336</v>
      </c>
      <c r="B8" s="9" t="s">
        <v>351</v>
      </c>
      <c r="C8" s="9" t="s">
        <v>348</v>
      </c>
      <c r="D8" s="9" t="s">
        <v>352</v>
      </c>
      <c r="E8" s="9" t="s">
        <v>353</v>
      </c>
    </row>
    <row r="9" spans="1:5" ht="52.05" customHeight="1">
      <c r="A9" s="9" t="s">
        <v>336</v>
      </c>
      <c r="B9" s="9" t="s">
        <v>354</v>
      </c>
      <c r="C9" s="9" t="s">
        <v>348</v>
      </c>
      <c r="D9" s="9" t="s">
        <v>355</v>
      </c>
      <c r="E9" s="9" t="s">
        <v>356</v>
      </c>
    </row>
    <row r="10" spans="1:5" ht="52.05" customHeight="1">
      <c r="A10" s="9" t="s">
        <v>336</v>
      </c>
      <c r="B10" s="9" t="s">
        <v>48</v>
      </c>
      <c r="C10" s="9" t="s">
        <v>357</v>
      </c>
      <c r="D10" s="9" t="s">
        <v>358</v>
      </c>
      <c r="E10" s="9" t="s">
        <v>359</v>
      </c>
    </row>
    <row r="11" spans="1:5" ht="52.05" customHeight="1">
      <c r="A11" s="9" t="s">
        <v>360</v>
      </c>
      <c r="B11" s="9" t="s">
        <v>165</v>
      </c>
      <c r="C11" s="9" t="s">
        <v>361</v>
      </c>
      <c r="D11" s="9" t="s">
        <v>362</v>
      </c>
      <c r="E11" s="9" t="s">
        <v>363</v>
      </c>
    </row>
    <row r="12" spans="1:5" ht="52.05" customHeight="1">
      <c r="A12" s="9" t="s">
        <v>360</v>
      </c>
      <c r="B12" s="9" t="s">
        <v>166</v>
      </c>
      <c r="C12" s="9" t="s">
        <v>364</v>
      </c>
      <c r="D12" s="9" t="s">
        <v>365</v>
      </c>
      <c r="E12" s="9" t="s">
        <v>366</v>
      </c>
    </row>
    <row r="13" spans="1:5" ht="52.05" customHeight="1">
      <c r="A13" s="9" t="s">
        <v>367</v>
      </c>
      <c r="B13" s="9" t="s">
        <v>219</v>
      </c>
      <c r="C13" s="9" t="s">
        <v>368</v>
      </c>
      <c r="D13" s="9" t="s">
        <v>369</v>
      </c>
      <c r="E13" s="9" t="s">
        <v>370</v>
      </c>
    </row>
    <row r="14" spans="1:5" ht="52.05" customHeight="1">
      <c r="A14" s="9" t="s">
        <v>367</v>
      </c>
      <c r="B14" s="9" t="s">
        <v>220</v>
      </c>
      <c r="C14" s="9" t="s">
        <v>371</v>
      </c>
      <c r="D14" s="9" t="s">
        <v>372</v>
      </c>
      <c r="E14" s="9" t="s">
        <v>373</v>
      </c>
    </row>
    <row r="15" spans="1:5" ht="52.05" customHeight="1">
      <c r="A15" s="9" t="s">
        <v>367</v>
      </c>
      <c r="B15" s="9" t="s">
        <v>221</v>
      </c>
      <c r="C15" s="9" t="s">
        <v>371</v>
      </c>
      <c r="D15" s="9" t="s">
        <v>247</v>
      </c>
      <c r="E15" s="9" t="s">
        <v>374</v>
      </c>
    </row>
    <row r="16" spans="1:5" ht="52.05" customHeight="1">
      <c r="A16" s="9" t="s">
        <v>367</v>
      </c>
      <c r="B16" s="9" t="s">
        <v>375</v>
      </c>
      <c r="C16" s="9" t="s">
        <v>371</v>
      </c>
      <c r="D16" s="9" t="s">
        <v>376</v>
      </c>
      <c r="E16" s="9" t="s">
        <v>377</v>
      </c>
    </row>
    <row r="17" spans="1:5" ht="52.05" customHeight="1">
      <c r="A17" s="9" t="s">
        <v>367</v>
      </c>
      <c r="B17" s="9" t="s">
        <v>226</v>
      </c>
      <c r="C17" s="9" t="s">
        <v>378</v>
      </c>
      <c r="D17" s="9" t="s">
        <v>379</v>
      </c>
      <c r="E17" s="9" t="s">
        <v>380</v>
      </c>
    </row>
    <row r="18" spans="1:5" ht="52.05" customHeight="1">
      <c r="A18" s="9" t="s">
        <v>367</v>
      </c>
      <c r="B18" s="9" t="s">
        <v>381</v>
      </c>
      <c r="C18" s="9" t="s">
        <v>348</v>
      </c>
      <c r="D18" s="9" t="s">
        <v>382</v>
      </c>
      <c r="E18" s="9" t="s">
        <v>383</v>
      </c>
    </row>
    <row r="19" spans="1:5" ht="52.05" customHeight="1">
      <c r="A19" s="11" t="s">
        <v>384</v>
      </c>
      <c r="B19" s="11" t="s">
        <v>385</v>
      </c>
      <c r="C19" s="11" t="s">
        <v>386</v>
      </c>
      <c r="D19" s="11" t="s">
        <v>387</v>
      </c>
      <c r="E19" s="11" t="s">
        <v>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Junctions_20</vt:lpstr>
      <vt:lpstr>Evidence_Notes</vt:lpstr>
      <vt:lpstr>Risk_Inputs</vt:lpstr>
      <vt:lpstr>Scoring_Config</vt:lpstr>
      <vt:lpstr>Sources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PACHE</dc:creator>
  <cp:lastModifiedBy>HIMANSHU PACHE</cp:lastModifiedBy>
  <dcterms:created xsi:type="dcterms:W3CDTF">2026-08-15T07:39:34Z</dcterms:created>
  <dcterms:modified xsi:type="dcterms:W3CDTF">2026-08-15T12:20:46Z</dcterms:modified>
</cp:coreProperties>
</file>